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ientes" sheetId="1" state="visible" r:id="rId3"/>
    <sheet name="Kanban" sheetId="2" state="visible" r:id="rId4"/>
    <sheet name="Indicação" sheetId="3" state="visible" r:id="rId5"/>
    <sheet name="Dashboard" sheetId="4" state="visible" r:id="rId6"/>
    <sheet name="Instruções" sheetId="5" state="hidden" r:id="rId7"/>
    <sheet name="Listas" sheetId="6" state="hidden" r:id="rId8"/>
  </sheets>
  <definedNames>
    <definedName function="false" hidden="true" localSheetId="0" name="_xlnm._FilterDatabase" vbProcedure="false">Pacientes!$A$1:$S$3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<sst xmlns="http://schemas.openxmlformats.org/spreadsheetml/2006/main" count="661" uniqueCount="286">
  <si>
    <t xml:space="preserve">Nome</t>
  </si>
  <si>
    <t xml:space="preserve">Telefone</t>
  </si>
  <si>
    <t xml:space="preserve">Email</t>
  </si>
  <si>
    <t xml:space="preserve">Origem do Lead</t>
  </si>
  <si>
    <t xml:space="preserve">Procedimento de Interesse</t>
  </si>
  <si>
    <t xml:space="preserve">Responsável</t>
  </si>
  <si>
    <t xml:space="preserve">Data 1º Contato</t>
  </si>
  <si>
    <t xml:space="preserve">Marcou Consulta?</t>
  </si>
  <si>
    <t xml:space="preserve">Data da Consulta</t>
  </si>
  <si>
    <t xml:space="preserve">Compareceu?</t>
  </si>
  <si>
    <t xml:space="preserve">Fez Radiografia?</t>
  </si>
  <si>
    <t xml:space="preserve">Plano de Tratamento?</t>
  </si>
  <si>
    <t xml:space="preserve">Valor do Orçamento (R$)</t>
  </si>
  <si>
    <t xml:space="preserve">Fechou Tratamento?</t>
  </si>
  <si>
    <t xml:space="preserve">Valor Fechado (R$)</t>
  </si>
  <si>
    <t xml:space="preserve">Data Fechamento</t>
  </si>
  <si>
    <t xml:space="preserve">Motivo da Perda</t>
  </si>
  <si>
    <t xml:space="preserve">Status Atual</t>
  </si>
  <si>
    <t xml:space="preserve">Observações</t>
  </si>
  <si>
    <t xml:space="preserve">OrdemStatus (aux)</t>
  </si>
  <si>
    <t xml:space="preserve">ChaveBusca (aux)</t>
  </si>
  <si>
    <t xml:space="preserve">MêsContato (aux)</t>
  </si>
  <si>
    <t xml:space="preserve">MêsFechamento (aux)</t>
  </si>
  <si>
    <t xml:space="preserve">ChaveFechado (aux)</t>
  </si>
  <si>
    <t xml:space="preserve">OrdemIndicacao (aux)</t>
  </si>
  <si>
    <t xml:space="preserve">ChaveIndicacao (aux)</t>
  </si>
  <si>
    <t xml:space="preserve">MêsConsulta (aux)</t>
  </si>
  <si>
    <t xml:space="preserve">Andrea Reis Ferreira de Melo</t>
  </si>
  <si>
    <t xml:space="preserve">(31) 99804-0037</t>
  </si>
  <si>
    <t xml:space="preserve">Indicação</t>
  </si>
  <si>
    <t xml:space="preserve">Invisaling</t>
  </si>
  <si>
    <t xml:space="preserve">Mariana</t>
  </si>
  <si>
    <t xml:space="preserve">Sim</t>
  </si>
  <si>
    <t xml:space="preserve">Não</t>
  </si>
  <si>
    <t xml:space="preserve">Sem orçamento no momento</t>
  </si>
  <si>
    <t xml:space="preserve">Tem outras prioridades, não vai fazer</t>
  </si>
  <si>
    <t xml:space="preserve">Julia da Silva Costa</t>
  </si>
  <si>
    <t xml:space="preserve">(31) 98479-0759</t>
  </si>
  <si>
    <t xml:space="preserve">Instagram</t>
  </si>
  <si>
    <t xml:space="preserve">Natalia</t>
  </si>
  <si>
    <t xml:space="preserve">Hiltonn Muniz Cordeiro</t>
  </si>
  <si>
    <t xml:space="preserve">(38) 9969-5811</t>
  </si>
  <si>
    <t xml:space="preserve">Invisalign</t>
  </si>
  <si>
    <t xml:space="preserve">gastou muito com Dr Marcelo</t>
  </si>
  <si>
    <t xml:space="preserve">Fernanda Bueno Teixeira Costa</t>
  </si>
  <si>
    <t xml:space="preserve">(31) 7332-8212</t>
  </si>
  <si>
    <t xml:space="preserve">nandabtc@gmail.com</t>
  </si>
  <si>
    <t xml:space="preserve">já é paciente</t>
  </si>
  <si>
    <t xml:space="preserve"> Estevão Nobre Carrato</t>
  </si>
  <si>
    <t xml:space="preserve">(31) 8823-0811</t>
  </si>
  <si>
    <t xml:space="preserve">estevaonc@gmail.com</t>
  </si>
  <si>
    <t xml:space="preserve">Quebrou um dente e vai fazer implante primeiro</t>
  </si>
  <si>
    <t xml:space="preserve">Guilherme Moraes</t>
  </si>
  <si>
    <t xml:space="preserve">236 979 1253</t>
  </si>
  <si>
    <t xml:space="preserve">guilerme.moraes@outlook.com</t>
  </si>
  <si>
    <t xml:space="preserve">Bernardo Vieira Bersan El Bizri</t>
  </si>
  <si>
    <t xml:space="preserve">(31) 8499-8630</t>
  </si>
  <si>
    <t xml:space="preserve">Aparelho Disjuntor</t>
  </si>
  <si>
    <t xml:space="preserve">Esther Andrade dos Santos</t>
  </si>
  <si>
    <t xml:space="preserve">(31) 99387-5247</t>
  </si>
  <si>
    <t xml:space="preserve">cristinamca1@hotmail.com</t>
  </si>
  <si>
    <t xml:space="preserve">Aparelho Fixo Metálico</t>
  </si>
  <si>
    <t xml:space="preserve">Pendente</t>
  </si>
  <si>
    <t xml:space="preserve">Retorna mais para frente</t>
  </si>
  <si>
    <t xml:space="preserve">Quer preparar a filha para o aparelho fixo (hyrax e grade) / Chamar em Dezembro</t>
  </si>
  <si>
    <t xml:space="preserve">Miguel Gonzalez Bidoia</t>
  </si>
  <si>
    <t xml:space="preserve">(31) 98332-3412</t>
  </si>
  <si>
    <t xml:space="preserve">paulobidoia@gmail.com</t>
  </si>
  <si>
    <t xml:space="preserve">Felipe Ribeiro Tostes de Menezes</t>
  </si>
  <si>
    <t xml:space="preserve">(12) 98123-9143</t>
  </si>
  <si>
    <t xml:space="preserve">Vai fazer com outro dentista</t>
  </si>
  <si>
    <t xml:space="preserve">Gabriela Ribeiro Tostes de Menezes </t>
  </si>
  <si>
    <t xml:space="preserve">Arco Lingual</t>
  </si>
  <si>
    <t xml:space="preserve">Ana Cláudia Ribeiro Marzinetti Dias</t>
  </si>
  <si>
    <t xml:space="preserve">(31) 9149-3499</t>
  </si>
  <si>
    <t xml:space="preserve">Invisa/aparelho fixo</t>
  </si>
  <si>
    <t xml:space="preserve">Ainda não fez as radiografias / Disse que vai esperar para fazer o tratamento, não vai fazer por agora</t>
  </si>
  <si>
    <t xml:space="preserve">Laura Gomes Souto Morato </t>
  </si>
  <si>
    <t xml:space="preserve">(31) 99615-3970</t>
  </si>
  <si>
    <t xml:space="preserve">laura.gomesmorato@gmail.com</t>
  </si>
  <si>
    <t xml:space="preserve">Criança</t>
  </si>
  <si>
    <t xml:space="preserve">Volta de viagem dia 4 de Agosto</t>
  </si>
  <si>
    <t xml:space="preserve">João Gabriel Pinto Coelho Barbosa </t>
  </si>
  <si>
    <t xml:space="preserve">(31) 9648-3708</t>
  </si>
  <si>
    <t xml:space="preserve">carolpcsantos@gmail.com</t>
  </si>
  <si>
    <t xml:space="preserve">Limpeza + avaliação Ortodôntica</t>
  </si>
  <si>
    <t xml:space="preserve">Miguel Oliveira Souza</t>
  </si>
  <si>
    <t xml:space="preserve">(31) 9131-2159</t>
  </si>
  <si>
    <t xml:space="preserve">lucarmooliveira311@gmail.com</t>
  </si>
  <si>
    <t xml:space="preserve">Felipe da Cunha Pereira Rocha Lacerda</t>
  </si>
  <si>
    <t xml:space="preserve">(31) 9973-7100</t>
  </si>
  <si>
    <t xml:space="preserve">Gabriel da Rocha Bastos</t>
  </si>
  <si>
    <t xml:space="preserve">(31) 8895-5842</t>
  </si>
  <si>
    <t xml:space="preserve">Fixo</t>
  </si>
  <si>
    <t xml:space="preserve">Fernando Ferreira Medeiros</t>
  </si>
  <si>
    <t xml:space="preserve">(31) 9977-8270</t>
  </si>
  <si>
    <t xml:space="preserve">ainda não nos deu retorna a respeito</t>
  </si>
  <si>
    <t xml:space="preserve">Lavinia Ferreira de La Fuente</t>
  </si>
  <si>
    <t xml:space="preserve">(31) 99427-1121</t>
  </si>
  <si>
    <t xml:space="preserve">nataliaedanilo@hotmail.com</t>
  </si>
  <si>
    <t xml:space="preserve">Não foi cobrado</t>
  </si>
  <si>
    <t xml:space="preserve">Vitor Mesquita Carlos Gomes </t>
  </si>
  <si>
    <t xml:space="preserve">(31) 8200-2267</t>
  </si>
  <si>
    <t xml:space="preserve">vitormesquita253@gmail.com</t>
  </si>
  <si>
    <t xml:space="preserve">Monica Maria Alves Pereira</t>
  </si>
  <si>
    <t xml:space="preserve">(31) 9896-3333</t>
  </si>
  <si>
    <t xml:space="preserve">Serena Catão de Miranda</t>
  </si>
  <si>
    <t xml:space="preserve">(31) 99909-2329</t>
  </si>
  <si>
    <t xml:space="preserve">marcilioadvocacia@gmail.com</t>
  </si>
  <si>
    <t xml:space="preserve">Camila de Almeida Teixeira Nominato</t>
  </si>
  <si>
    <t xml:space="preserve">(31) 99946-7948</t>
  </si>
  <si>
    <t xml:space="preserve">teixeira.caa@gmail.com</t>
  </si>
  <si>
    <t xml:space="preserve">João Gabriel Cardoso de Oliveira</t>
  </si>
  <si>
    <t xml:space="preserve">(31) 9810-9624</t>
  </si>
  <si>
    <t xml:space="preserve">carolinadacruzcardoso@gmail.com</t>
  </si>
  <si>
    <t xml:space="preserve">Christiane Alves Esteves Diniz Guerra</t>
  </si>
  <si>
    <t xml:space="preserve">(917) 570-1155</t>
  </si>
  <si>
    <t xml:space="preserve"> Vai pagar 6mil em Agosto e 4mil em Novembro</t>
  </si>
  <si>
    <t xml:space="preserve">Kezia Cristina Teodoro dos Santos</t>
  </si>
  <si>
    <t xml:space="preserve">(31) 9429-4140</t>
  </si>
  <si>
    <t xml:space="preserve">keziac_santos@yahoo.com.br</t>
  </si>
  <si>
    <t xml:space="preserve">Invisalign / Fixo</t>
  </si>
  <si>
    <t xml:space="preserve">Izabela Maia Resende</t>
  </si>
  <si>
    <t xml:space="preserve">(31) 9937-7621</t>
  </si>
  <si>
    <t xml:space="preserve">marielasoutomaia@gmail.com</t>
  </si>
  <si>
    <t xml:space="preserve">Eduardo Lamaita Figueiredo</t>
  </si>
  <si>
    <t xml:space="preserve">(31) 8264-9025</t>
  </si>
  <si>
    <t xml:space="preserve">lu_lamaita@hotmail.com</t>
  </si>
  <si>
    <t xml:space="preserve">Flavia Mendonça Pinheiro de Melo</t>
  </si>
  <si>
    <t xml:space="preserve">(31) 9988-8581</t>
  </si>
  <si>
    <t xml:space="preserve">Gabriela Mendonça Pinheiro de Melo</t>
  </si>
  <si>
    <t xml:space="preserve">Helena Barcelos Avelar</t>
  </si>
  <si>
    <t xml:space="preserve">(31) 9302-5504</t>
  </si>
  <si>
    <t xml:space="preserve">Fixo </t>
  </si>
  <si>
    <t xml:space="preserve">Joaquim Manduca Campos</t>
  </si>
  <si>
    <t xml:space="preserve">(31) 9911-5338</t>
  </si>
  <si>
    <t xml:space="preserve">mariedmanduca@gmail.com</t>
  </si>
  <si>
    <t xml:space="preserve">Maried Guimarães Manduca Campos</t>
  </si>
  <si>
    <t xml:space="preserve">Otávio Rangel Ferreira</t>
  </si>
  <si>
    <t xml:space="preserve">(31) 8873-5003</t>
  </si>
  <si>
    <t xml:space="preserve">kellyurirangel@gmail.com</t>
  </si>
  <si>
    <t xml:space="preserve">Maria Carolina Silva Dornelas</t>
  </si>
  <si>
    <t xml:space="preserve">(31) 9775-9100</t>
  </si>
  <si>
    <t xml:space="preserve">Jamiria Aparecida Vieira Reis</t>
  </si>
  <si>
    <t xml:space="preserve">(31) 8770-5202</t>
  </si>
  <si>
    <t xml:space="preserve">Laura Arruda dos Santos </t>
  </si>
  <si>
    <t xml:space="preserve">(31) 9296-3541</t>
  </si>
  <si>
    <t xml:space="preserve">Davi Norte Menezes</t>
  </si>
  <si>
    <t xml:space="preserve">(31) 99763-4054</t>
  </si>
  <si>
    <t xml:space="preserve">fenorte@hotmail.com</t>
  </si>
  <si>
    <t xml:space="preserve">Olivia Amorim Dornas</t>
  </si>
  <si>
    <t xml:space="preserve">(31) 99192-9145</t>
  </si>
  <si>
    <t xml:space="preserve">lamorim2006@gmail.com</t>
  </si>
  <si>
    <t xml:space="preserve">Stella Amorim Dornas</t>
  </si>
  <si>
    <t xml:space="preserve">Bernardo Terra Cunha</t>
  </si>
  <si>
    <t xml:space="preserve">31 8473-2460</t>
  </si>
  <si>
    <t xml:space="preserve">juterra@yahoo.com</t>
  </si>
  <si>
    <t xml:space="preserve">Felipe Terra Cunha</t>
  </si>
  <si>
    <t xml:space="preserve">Joao Mesquita Vieira Marques</t>
  </si>
  <si>
    <t xml:space="preserve">31 9992-1789</t>
  </si>
  <si>
    <t xml:space="preserve">cynthiavmesquita@hotmail.com</t>
  </si>
  <si>
    <t xml:space="preserve">Manoela Almeida Moore</t>
  </si>
  <si>
    <t xml:space="preserve">31 9245-4815</t>
  </si>
  <si>
    <t xml:space="preserve">Enzo Barros Diniz</t>
  </si>
  <si>
    <t xml:space="preserve">31 9292-7671</t>
  </si>
  <si>
    <t xml:space="preserve">Aline Fernanda de Lima Costa</t>
  </si>
  <si>
    <t xml:space="preserve">38 9800-7274</t>
  </si>
  <si>
    <t xml:space="preserve">Alinefernandalc@outlook.com</t>
  </si>
  <si>
    <t xml:space="preserve">Limpeza</t>
  </si>
  <si>
    <t xml:space="preserve">Paulo Maulais</t>
  </si>
  <si>
    <t xml:space="preserve">31 8869-1984</t>
  </si>
  <si>
    <t xml:space="preserve">Luisa Mundim (filhas) </t>
  </si>
  <si>
    <t xml:space="preserve"> 31 8897-2500</t>
  </si>
  <si>
    <t xml:space="preserve">WhatsApp</t>
  </si>
  <si>
    <t xml:space="preserve">fixo</t>
  </si>
  <si>
    <t xml:space="preserve">Andrea Cristina Guerra da Silva</t>
  </si>
  <si>
    <t xml:space="preserve">31 8747-6462</t>
  </si>
  <si>
    <t xml:space="preserve">andreacguerra@gmail.com</t>
  </si>
  <si>
    <t xml:space="preserve">Andre Sovoi Torres</t>
  </si>
  <si>
    <t xml:space="preserve">inivisalign</t>
  </si>
  <si>
    <t xml:space="preserve">Raquel Rabelo (filhas)</t>
  </si>
  <si>
    <t xml:space="preserve">Julia</t>
  </si>
  <si>
    <t xml:space="preserve">Caio Norte Menezes</t>
  </si>
  <si>
    <t xml:space="preserve">criança</t>
  </si>
  <si>
    <t xml:space="preserve">🆕 Novo Paciente</t>
  </si>
  <si>
    <t xml:space="preserve">📅 Consulta Marcada</t>
  </si>
  <si>
    <t xml:space="preserve">❌ Não Compareceu</t>
  </si>
  <si>
    <t xml:space="preserve">✅ Compareceu</t>
  </si>
  <si>
    <t xml:space="preserve">💰 Plano de Tratamento</t>
  </si>
  <si>
    <t xml:space="preserve">🎉 Fechado</t>
  </si>
  <si>
    <t xml:space="preserve">⚠️ Perdido</t>
  </si>
  <si>
    <t xml:space="preserve">🕐 Pendente</t>
  </si>
  <si>
    <t xml:space="preserve">🤔 Não Precisa no Momento</t>
  </si>
  <si>
    <t xml:space="preserve">Data Contato</t>
  </si>
  <si>
    <t xml:space="preserve">Data Consulta</t>
  </si>
  <si>
    <t xml:space="preserve">Radiografia?</t>
  </si>
  <si>
    <t xml:space="preserve">Valor Orçado</t>
  </si>
  <si>
    <t xml:space="preserve">Valor Fechado</t>
  </si>
  <si>
    <t xml:space="preserve">Motivo</t>
  </si>
  <si>
    <t xml:space="preserve">Nome do Paciente</t>
  </si>
  <si>
    <t xml:space="preserve">Quem Indicou?</t>
  </si>
  <si>
    <t xml:space="preserve">Dr Marcelo</t>
  </si>
  <si>
    <t xml:space="preserve">Camila mãe Marina e Maria Clara</t>
  </si>
  <si>
    <t xml:space="preserve">Dra Cinthya</t>
  </si>
  <si>
    <t xml:space="preserve">Dr Thiago Martelli</t>
  </si>
  <si>
    <t xml:space="preserve">Gustavo paciente (mora no méxico)</t>
  </si>
  <si>
    <t xml:space="preserve">Dr Mauricio Gelais</t>
  </si>
  <si>
    <t xml:space="preserve">Mateus (pai que foi paciente)</t>
  </si>
  <si>
    <t xml:space="preserve">Celeste (foi paciente)</t>
  </si>
  <si>
    <t xml:space="preserve">Luciane (mãe é paciente)</t>
  </si>
  <si>
    <t xml:space="preserve">Juliano (pai foi paciente)</t>
  </si>
  <si>
    <t xml:space="preserve">Dra Carmem</t>
  </si>
  <si>
    <t xml:space="preserve">Dr Rodrigo (colega)</t>
  </si>
  <si>
    <t xml:space="preserve">Família</t>
  </si>
  <si>
    <t xml:space="preserve">Família toda é paciente</t>
  </si>
  <si>
    <t xml:space="preserve">Dra Samia</t>
  </si>
  <si>
    <t xml:space="preserve">Dra Luciana Rajão</t>
  </si>
  <si>
    <t xml:space="preserve">Duda/Fabiano Maia</t>
  </si>
  <si>
    <t xml:space="preserve">Flávio Cross fit</t>
  </si>
  <si>
    <t xml:space="preserve">Paula (paciente antiga)</t>
  </si>
  <si>
    <t xml:space="preserve">Bruna Guimarães (mãe do Bê paciente)</t>
  </si>
  <si>
    <t xml:space="preserve">Dashboard — Mori Ortodontia</t>
  </si>
  <si>
    <t xml:space="preserve">Indicadores calculados automaticamente a partir da aba 'Pacientes'. Não edite valores aqui.</t>
  </si>
  <si>
    <t xml:space="preserve">Resumo do mês atual</t>
  </si>
  <si>
    <t xml:space="preserve">Novos Pacientes no Mês</t>
  </si>
  <si>
    <t xml:space="preserve">Fechados (Ganhos) no Mês</t>
  </si>
  <si>
    <t xml:space="preserve">Taxa de Conversão do Mês</t>
  </si>
  <si>
    <t xml:space="preserve">Valor Total Fechado no Mês</t>
  </si>
  <si>
    <t xml:space="preserve">Ticket Médio do Mês</t>
  </si>
  <si>
    <t xml:space="preserve">Evolução mês a mês</t>
  </si>
  <si>
    <t xml:space="preserve">O mês inicial da tabela está fixo em Março/2026 (célula B15). Os demais meses seguem automaticamente a partir dele. Se quiser mudar o início, edite só a data em B15.</t>
  </si>
  <si>
    <t xml:space="preserve">Mês</t>
  </si>
  <si>
    <t xml:space="preserve">Novos Pacientes</t>
  </si>
  <si>
    <t xml:space="preserve">Fechados (Ganhos)</t>
  </si>
  <si>
    <t xml:space="preserve">Taxa de Conversão</t>
  </si>
  <si>
    <t xml:space="preserve">Valor Total Fechado (R$)</t>
  </si>
  <si>
    <t xml:space="preserve">Ticket Médio (R$)</t>
  </si>
  <si>
    <t xml:space="preserve">🔻 Funil de Conversão</t>
  </si>
  <si>
    <t xml:space="preserve">Filtro por mês: digite qualquer data dentro do mês desejado na célula abaixo (ex: 01/08/2026). A coluna 'Total Geral' sempre mostra o acumulado de todo o período, independente desse filtro.</t>
  </si>
  <si>
    <t xml:space="preserve">Mês selecionado (filtro):</t>
  </si>
  <si>
    <t xml:space="preserve">Etapa</t>
  </si>
  <si>
    <t xml:space="preserve">Total Geral</t>
  </si>
  <si>
    <t xml:space="preserve">% do Total (Geral)</t>
  </si>
  <si>
    <t xml:space="preserve">Nº no Mês Selecionado</t>
  </si>
  <si>
    <t xml:space="preserve">% do Total (Mês)</t>
  </si>
  <si>
    <t xml:space="preserve">Agendados</t>
  </si>
  <si>
    <t xml:space="preserve">Compareceram</t>
  </si>
  <si>
    <t xml:space="preserve">Fechados</t>
  </si>
  <si>
    <t xml:space="preserve">Obs.: 'Agendados' e 'Compareceram' contam quem já passou por essa etapa em algum momento (não apenas quem está nela agora). Depende de 'Marcou Consulta?' e 'Compareceu?' não serem apagados depois de preenchidos.</t>
  </si>
  <si>
    <t xml:space="preserve">CRM Mori Ortodontia — Guia de Uso</t>
  </si>
  <si>
    <t xml:space="preserve">Como está organizada esta planilha</t>
  </si>
  <si>
    <t xml:space="preserve">• Listas: contém os itens que aparecem nos menus suspensos (origem do lead, responsável, motivo de perda etc). Edite aqui para adicionar/remover opções — os menus se atualizam sozinhos.</t>
  </si>
  <si>
    <t xml:space="preserve">• Pacientes (Base de Dados): é a ÚNICA aba onde vocês digitam informação. Cada linha = um paciente, do primeiro contato até o fechamento ou perda. Todas as outras abas só leem esses dados.</t>
  </si>
  <si>
    <t xml:space="preserve">• Kanban: visão rápida em formato de quadro, dividida por etapa (Novo Paciente, Consulta Marcada, Não Compareceu, Compareceu, Plano de Tratamento, Fechado, Pendente, Não Precisa no Momento, Perdido). Atualiza sozinha — não edite nada aqui.</t>
  </si>
  <si>
    <t xml:space="preserve">• Dashboard: indicadores mês a mês (volume, conversão, ticket médio, valor total). Atualiza sozinho — não edite nada aqui.</t>
  </si>
  <si>
    <t xml:space="preserve">Como preencher um novo paciente</t>
  </si>
  <si>
    <t xml:space="preserve">1. Vá até a aba 'Pacientes' e preencha uma nova linha: Nome, Telefone, Email, Origem, Procedimento de Interesse, Responsável e Data do 1º Contato.</t>
  </si>
  <si>
    <t xml:space="preserve">2. Conforme o atendimento evolui, vá preenchendo os campos de Sim/Não (Marcou Consulta, Compareceu, Fez Radiografia, Orçamento Apresentado, Fechou Tratamento) e as respectivas datas/valores.</t>
  </si>
  <si>
    <t xml:space="preserve">3. A coluna 'Status Atual' é calculada automaticamente — não escreva nela.</t>
  </si>
  <si>
    <t xml:space="preserve">4. O paciente aparece e desaparece sozinho das colunas do Kanban conforme o status muda. Não é preciso mover nada manualmente.</t>
  </si>
  <si>
    <t xml:space="preserve">Regra de como o Status Atual é calculado (importante)</t>
  </si>
  <si>
    <t xml:space="preserve">• 'Marcou Consulta?' = Não  →  Status vira Perdido diretamente (o paciente não chegou a agendar).</t>
  </si>
  <si>
    <t xml:space="preserve">• 'Compareceu?' = Não  →  Status vira 'Não Compareceu' (fica separado de Perdido, pois normalmente ainda dá para reagendar). Só vira Perdido de fato quando 'Fechou Tratamento?' for marcado como Não, com o motivo da perda preenchido.</t>
  </si>
  <si>
    <t xml:space="preserve">• 'Fez Radiografia?' é apenas informativo — não influencia o status nem bloqueia o funil.</t>
  </si>
  <si>
    <t xml:space="preserve">• 'Fechou Tratamento?' pode ser: Sim (fechamento total), Parcial (fechou parte do tratamento), Pendente (paciente ainda decidindo) ou Não precisa no momento (adiou por vontade própria, sem ser por preço/concorrência). Qualquer um desses dois últimos só vira Perdido de fato se depois for alterado para 'Não'.</t>
  </si>
  <si>
    <t xml:space="preserve">• Quando 'Fechou Tratamento?' for Pendente ou Não precisa no momento, registre o motivo/contexto na coluna 'Observações' (S) — é esse texto que aparece nos blocos correspondentes do Kanban.</t>
  </si>
  <si>
    <t xml:space="preserve">Sequência de status possíveis</t>
  </si>
  <si>
    <t xml:space="preserve">Novo Paciente → Consulta Marcada → Compareceu / Não Compareceu → Plano de Tratamento → Fechado (Total) / Fechado (Parcial) / Pendente / Não Precisa no Momento / Perdido</t>
  </si>
  <si>
    <t xml:space="preserve">• Este arquivo foi gerado em .xlsx para uso no Google Sheets. Ao subir no Drive, abra com Google Sheets (não precisa converter nada, as fórmulas usadas funcionam nos dois ambientes).</t>
  </si>
  <si>
    <t xml:space="preserve">• As colunas T e U da aba Pacientes são auxiliares (uso interno das fórmulas do Kanban) — estão ocultas de propósito, não é necessário mexer nelas.</t>
  </si>
  <si>
    <t xml:space="preserve">• Dúvidas ou ajustes de campo: fale com quem estruturou a planilha antes de alterar fórmulas.</t>
  </si>
  <si>
    <t xml:space="preserve">Aba Indicação</t>
  </si>
  <si>
    <t xml:space="preserve">• Toda vez que a coluna 'Origem do Lead' (D) na aba Pacientes for marcada como 'Indicação', o nome do paciente aparece automaticamente na aba Indicação, coluna A.</t>
  </si>
  <si>
    <t xml:space="preserve">• A coluna B ('Quem Indicou?') é preenchida manualmente pela secretária — não é calculada por fórmula.</t>
  </si>
  <si>
    <t xml:space="preserve">• IMPORTANTE: por causa dessa coluna manual, novos pacientes devem SEMPRE ser adicionados no final da aba Pacientes — nunca inserir ou apagar linhas no meio da base. Se uma linha do meio for apagada, a lista de Indicação pode reordenar e o campo 'Quem Indicou' de um paciente ficar associado ao nome errado.</t>
  </si>
  <si>
    <t xml:space="preserve">Sim/Não</t>
  </si>
  <si>
    <t xml:space="preserve">Sim/Não/Parcial</t>
  </si>
  <si>
    <t xml:space="preserve">Preço</t>
  </si>
  <si>
    <t xml:space="preserve">Parou de responder</t>
  </si>
  <si>
    <t xml:space="preserve">Google</t>
  </si>
  <si>
    <t xml:space="preserve">Fechou com concorrente</t>
  </si>
  <si>
    <t xml:space="preserve">Não precisa no momento</t>
  </si>
  <si>
    <t xml:space="preserve">Não gostou do tratamento sugerido</t>
  </si>
  <si>
    <t xml:space="preserve">Site</t>
  </si>
  <si>
    <t xml:space="preserve">Está com outras prioridades</t>
  </si>
  <si>
    <t xml:space="preserve">Passou na porta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</si>
</sst>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R$ &quot;#,##0.00;&quot;(R$ &quot;#,##0.00\);\-"/>
    <numFmt numFmtId="167" formatCode="General"/>
    <numFmt numFmtId="168" formatCode="0.0%"/>
    <numFmt numFmtId="169" formatCode="mmm/yy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1"/>
      <color rgb="FFCFE2F3"/>
      <name val="Calibri"/>
      <family val="0"/>
      <charset val="1"/>
    </font>
    <font>
      <b val="true"/>
      <sz val="20"/>
      <color rgb="FFCFE2F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6"/>
      <color rgb="FF1F4E5F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00FFFF"/>
        <bgColor rgb="FF00FFFF"/>
      </patternFill>
    </fill>
    <fill>
      <patternFill patternType="solid">
        <fgColor rgb="FFFFF9DB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9DB"/>
      </patternFill>
    </fill>
    <fill>
      <patternFill patternType="solid">
        <fgColor rgb="FFB4A7D6"/>
        <bgColor rgb="FFBFBFBF"/>
      </patternFill>
    </fill>
    <fill>
      <patternFill patternType="solid">
        <fgColor rgb="FFFFF2CC"/>
        <bgColor rgb="FFFFF9DB"/>
      </patternFill>
    </fill>
    <fill>
      <patternFill patternType="solid">
        <fgColor rgb="FFFF00FF"/>
        <bgColor rgb="FFFF00FF"/>
      </patternFill>
    </fill>
    <fill>
      <patternFill patternType="solid">
        <fgColor rgb="FFD9E6EC"/>
        <bgColor rgb="FFCFE2F3"/>
      </patternFill>
    </fill>
    <fill>
      <patternFill patternType="solid">
        <fgColor rgb="FF0000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7C6CC"/>
      </left>
      <right style="thin">
        <color rgb="FFB7C6CC"/>
      </right>
      <top style="thin">
        <color rgb="FFB7C6CC"/>
      </top>
      <bottom style="thin">
        <color rgb="FFB7C6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7C6CC"/>
      </left>
      <right style="thin">
        <color rgb="FFB7C6CC"/>
      </right>
      <top style="thin">
        <color rgb="FFB7C6CC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D9F2D9"/>
          <bgColor rgb="FF000000"/>
        </patternFill>
      </fill>
    </dxf>
    <dxf>
      <fill>
        <patternFill patternType="solid">
          <fgColor rgb="FFF9D6D6"/>
          <bgColor rgb="FF000000"/>
        </patternFill>
      </fill>
    </dxf>
    <dxf>
      <fill>
        <patternFill>
          <bgColor rgb="FFD9F2D9"/>
        </patternFill>
      </fill>
    </dxf>
    <dxf>
      <fill>
        <patternFill>
          <bgColor rgb="FFF9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9DB"/>
      <rgbColor rgb="FFD9E6EC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2CC"/>
      <rgbColor rgb="FFB7C6CC"/>
      <rgbColor rgb="FFFF99CC"/>
      <rgbColor rgb="FFB4A7D6"/>
      <rgbColor rgb="FFF9D6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false"/>
  </sheetPr>
  <dimension ref="A1:A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6.71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7.86"/>
    <col collapsed="false" customWidth="true" hidden="false" outlineLevel="0" max="5" min="5" style="1" width="26"/>
    <col collapsed="false" customWidth="true" hidden="false" outlineLevel="0" max="6" min="6" style="1" width="17.71"/>
    <col collapsed="false" customWidth="true" hidden="false" outlineLevel="0" max="7" min="7" style="1" width="15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1" width="18.86"/>
    <col collapsed="false" customWidth="true" hidden="false" outlineLevel="0" max="11" min="11" style="1" width="17.71"/>
    <col collapsed="false" customWidth="true" hidden="false" outlineLevel="0" max="12" min="12" style="1" width="18.86"/>
    <col collapsed="false" customWidth="true" hidden="false" outlineLevel="0" max="13" min="13" style="1" width="19.71"/>
    <col collapsed="false" customWidth="true" hidden="false" outlineLevel="0" max="14" min="14" style="1" width="25.43"/>
    <col collapsed="false" customWidth="true" hidden="false" outlineLevel="0" max="16" min="15" style="1" width="17.86"/>
    <col collapsed="false" customWidth="true" hidden="false" outlineLevel="0" max="17" min="17" style="1" width="29.29"/>
    <col collapsed="false" customWidth="true" hidden="false" outlineLevel="0" max="18" min="18" style="1" width="25.43"/>
    <col collapsed="false" customWidth="true" hidden="false" outlineLevel="0" max="19" min="19" style="1" width="56.43"/>
    <col collapsed="false" customWidth="true" hidden="true" outlineLevel="0" max="20" min="20" style="1" width="14"/>
    <col collapsed="false" customWidth="true" hidden="true" outlineLevel="0" max="21" min="21" style="1" width="20"/>
    <col collapsed="false" customWidth="true" hidden="true" outlineLevel="0" max="24" min="22" style="1" width="14"/>
    <col collapsed="false" customWidth="true" hidden="true" outlineLevel="0" max="25" min="25" style="1" width="16"/>
    <col collapsed="false" customWidth="true" hidden="true" outlineLevel="0" max="26" min="26" style="1" width="18"/>
    <col collapsed="false" customWidth="true" hidden="true" outlineLevel="0" max="27" min="27" style="1" width="16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" hidden="false" customHeight="true" outlineLevel="0" collapsed="false">
      <c r="A2" s="4" t="s">
        <v>27</v>
      </c>
      <c r="B2" s="4" t="s">
        <v>28</v>
      </c>
      <c r="C2" s="4"/>
      <c r="D2" s="4" t="s">
        <v>29</v>
      </c>
      <c r="E2" s="4" t="s">
        <v>30</v>
      </c>
      <c r="F2" s="4" t="s">
        <v>31</v>
      </c>
      <c r="G2" s="5" t="n">
        <v>46205</v>
      </c>
      <c r="H2" s="6" t="s">
        <v>32</v>
      </c>
      <c r="I2" s="5" t="n">
        <v>46209</v>
      </c>
      <c r="J2" s="6" t="s">
        <v>32</v>
      </c>
      <c r="K2" s="6" t="s">
        <v>33</v>
      </c>
      <c r="L2" s="6" t="s">
        <v>32</v>
      </c>
      <c r="M2" s="7" t="n">
        <v>15000</v>
      </c>
      <c r="N2" s="6" t="s">
        <v>33</v>
      </c>
      <c r="O2" s="7"/>
      <c r="P2" s="8"/>
      <c r="Q2" s="4" t="s">
        <v>34</v>
      </c>
      <c r="R2" s="9" t="str">
        <f aca="false">IF(N2="Sim","Fechado (Total)",IF(N2="Parcial","Fechado (Parcial)",IF(N2="Não","Perdido",IF(N2="Pendente","Pendente",IF(N2="Não precisa no momento","Não Precisa no Momento",IF(L2="Sim","Plano de Tratamento",IF(J2="Não","Não Compareceu",IF(J2="Sim","Compareceu",IF(H2="Não","Perdido",IF(H2="Sim","Consulta Marcada",IF(A2="","","Novo Paciente")))))))))))</f>
        <v>Perdido</v>
      </c>
      <c r="S2" s="4" t="s">
        <v>35</v>
      </c>
      <c r="T2" s="10" t="n">
        <f aca="false">IF(A2="","",SUMPRODUCT(($R$2:R2=R2)*($A$2:A2&lt;&gt;"")))</f>
        <v>1</v>
      </c>
      <c r="U2" s="10" t="str">
        <f aca="false">IF(A2="","",R2&amp;"|"&amp;T2)</f>
        <v>Perdido|1</v>
      </c>
      <c r="V2" s="10" t="str">
        <f aca="false">IF(G2="","",TEXT(G2,"mm/yyyy"))</f>
        <v>07/2026</v>
      </c>
      <c r="W2" s="10" t="str">
        <f aca="false">IF(P2="","",TEXT(P2,"mm/yyyy"))</f>
        <v/>
      </c>
      <c r="X2" s="10" t="str">
        <f aca="false">IF(A2="","",IF(OR(R2="Fechado (Total)",R2="Fechado (Parcial)"),"Fechado|"&amp;SUMPRODUCT((($R$2:R2="Fechado (Total)")+($R$2:R2="Fechado (Parcial)"))*($A$2:A2&lt;&gt;"")),""))</f>
        <v/>
      </c>
      <c r="Y2" s="10" t="n">
        <f aca="false">IF(A2="","",IF(D2="Indicação",SUMPRODUCT(($D$2:D2="Indicação")*($A$2:A2&lt;&gt;"")),""))</f>
        <v>1</v>
      </c>
      <c r="Z2" s="10" t="str">
        <f aca="false">IF(Y2="","","Indicacao|"&amp;Y2)</f>
        <v>Indicacao|1</v>
      </c>
      <c r="AA2" s="10" t="str">
        <f aca="false">IF(I2="","",TEXT(I2,"mm/yyyy"))</f>
        <v>07/2026</v>
      </c>
    </row>
    <row r="3" customFormat="false" ht="15" hidden="false" customHeight="true" outlineLevel="0" collapsed="false">
      <c r="A3" s="4" t="s">
        <v>36</v>
      </c>
      <c r="B3" s="4" t="s">
        <v>37</v>
      </c>
      <c r="C3" s="4"/>
      <c r="D3" s="4" t="s">
        <v>38</v>
      </c>
      <c r="E3" s="4" t="s">
        <v>30</v>
      </c>
      <c r="F3" s="4" t="s">
        <v>39</v>
      </c>
      <c r="G3" s="11" t="n">
        <v>46202</v>
      </c>
      <c r="H3" s="6" t="s">
        <v>32</v>
      </c>
      <c r="I3" s="5" t="n">
        <v>46210</v>
      </c>
      <c r="J3" s="6" t="s">
        <v>32</v>
      </c>
      <c r="K3" s="6" t="s">
        <v>32</v>
      </c>
      <c r="L3" s="6" t="s">
        <v>32</v>
      </c>
      <c r="M3" s="7" t="n">
        <v>15000</v>
      </c>
      <c r="N3" s="6" t="s">
        <v>32</v>
      </c>
      <c r="O3" s="7" t="n">
        <v>14700</v>
      </c>
      <c r="P3" s="8" t="n">
        <v>46223</v>
      </c>
      <c r="Q3" s="4"/>
      <c r="R3" s="9" t="str">
        <f aca="false">IF(N3="Sim","Fechado (Total)",IF(N3="Parcial","Fechado (Parcial)",IF(N3="Não","Perdido",IF(N3="Pendente","Pendente",IF(N3="Não precisa no momento","Não Precisa no Momento",IF(L3="Sim","Plano de Tratamento",IF(J3="Não","Não Compareceu",IF(J3="Sim","Compareceu",IF(H3="Não","Perdido",IF(H3="Sim","Consulta Marcada",IF(A3="","","Novo Paciente")))))))))))</f>
        <v>Fechado (Total)</v>
      </c>
      <c r="S3" s="4"/>
      <c r="T3" s="10" t="n">
        <f aca="false">IF(A3="","",SUMPRODUCT(($R$2:R3=R3)*($A$2:A3&lt;&gt;"")))</f>
        <v>1</v>
      </c>
      <c r="U3" s="10" t="str">
        <f aca="false">IF(A3="","",R3&amp;"|"&amp;T3)</f>
        <v>Fechado (Total)|1</v>
      </c>
      <c r="V3" s="10" t="str">
        <f aca="false">IF(G3="","",TEXT(G3,"mm/yyyy"))</f>
        <v>06/2026</v>
      </c>
      <c r="W3" s="10" t="str">
        <f aca="false">IF(P3="","",TEXT(P3,"mm/yyyy"))</f>
        <v>07/2026</v>
      </c>
      <c r="X3" s="10" t="str">
        <f aca="false">IF(A3="","",IF(OR(R3="Fechado (Total)",R3="Fechado (Parcial)"),"Fechado|"&amp;SUMPRODUCT((($R$2:R3="Fechado (Total)")+($R$2:R3="Fechado (Parcial)"))*($A$2:A3&lt;&gt;"")),""))</f>
        <v>Fechado|1</v>
      </c>
      <c r="Y3" s="10" t="str">
        <f aca="false">IF(A3="","",IF(D3="Indicação",SUMPRODUCT(($D$2:D3="Indicação")*($A$2:A3&lt;&gt;"")),""))</f>
        <v/>
      </c>
      <c r="Z3" s="10" t="str">
        <f aca="false">IF(Y3="","","Indicacao|"&amp;Y3)</f>
        <v/>
      </c>
      <c r="AA3" s="10" t="str">
        <f aca="false">IF(I3="","",TEXT(I3,"mm/yyyy"))</f>
        <v>07/2026</v>
      </c>
    </row>
    <row r="4" customFormat="false" ht="15" hidden="false" customHeight="true" outlineLevel="0" collapsed="false">
      <c r="A4" s="4" t="s">
        <v>40</v>
      </c>
      <c r="B4" s="4" t="s">
        <v>41</v>
      </c>
      <c r="C4" s="4"/>
      <c r="D4" s="4" t="s">
        <v>29</v>
      </c>
      <c r="E4" s="4" t="s">
        <v>42</v>
      </c>
      <c r="F4" s="4" t="s">
        <v>31</v>
      </c>
      <c r="G4" s="12" t="n">
        <v>46149</v>
      </c>
      <c r="H4" s="6" t="s">
        <v>32</v>
      </c>
      <c r="I4" s="12" t="n">
        <v>46169</v>
      </c>
      <c r="J4" s="6" t="s">
        <v>32</v>
      </c>
      <c r="K4" s="6" t="s">
        <v>32</v>
      </c>
      <c r="L4" s="6" t="s">
        <v>32</v>
      </c>
      <c r="M4" s="7" t="n">
        <v>16000</v>
      </c>
      <c r="N4" s="6" t="s">
        <v>33</v>
      </c>
      <c r="O4" s="7"/>
      <c r="P4" s="8"/>
      <c r="Q4" s="4" t="s">
        <v>34</v>
      </c>
      <c r="R4" s="9" t="str">
        <f aca="false">IF(N4="Sim","Fechado (Total)",IF(N4="Parcial","Fechado (Parcial)",IF(N4="Não","Perdido",IF(N4="Pendente","Pendente",IF(N4="Não precisa no momento","Não Precisa no Momento",IF(L4="Sim","Plano de Tratamento",IF(J4="Não","Não Compareceu",IF(J4="Sim","Compareceu",IF(H4="Não","Perdido",IF(H4="Sim","Consulta Marcada",IF(A4="","","Novo Paciente")))))))))))</f>
        <v>Perdido</v>
      </c>
      <c r="S4" s="4" t="s">
        <v>43</v>
      </c>
      <c r="T4" s="10" t="n">
        <f aca="false">IF(A4="","",SUMPRODUCT(($R$2:R4=R4)*($A$2:A4&lt;&gt;"")))</f>
        <v>2</v>
      </c>
      <c r="U4" s="10" t="str">
        <f aca="false">IF(A4="","",R4&amp;"|"&amp;T4)</f>
        <v>Perdido|2</v>
      </c>
      <c r="V4" s="10" t="str">
        <f aca="false">IF(G4="","",TEXT(G4,"mm/yyyy"))</f>
        <v>05/2026</v>
      </c>
      <c r="W4" s="10" t="str">
        <f aca="false">IF(P4="","",TEXT(P4,"mm/yyyy"))</f>
        <v/>
      </c>
      <c r="X4" s="10" t="str">
        <f aca="false">IF(A4="","",IF(OR(R4="Fechado (Total)",R4="Fechado (Parcial)"),"Fechado|"&amp;SUMPRODUCT((($R$2:R4="Fechado (Total)")+($R$2:R4="Fechado (Parcial)"))*($A$2:A4&lt;&gt;"")),""))</f>
        <v/>
      </c>
      <c r="Y4" s="10" t="n">
        <f aca="false">IF(A4="","",IF(D4="Indicação",SUMPRODUCT(($D$2:D4="Indicação")*($A$2:A4&lt;&gt;"")),""))</f>
        <v>2</v>
      </c>
      <c r="Z4" s="10" t="str">
        <f aca="false">IF(Y4="","","Indicacao|"&amp;Y4)</f>
        <v>Indicacao|2</v>
      </c>
      <c r="AA4" s="10" t="str">
        <f aca="false">IF(I4="","",TEXT(I4,"mm/yyyy"))</f>
        <v>05/2026</v>
      </c>
    </row>
    <row r="5" customFormat="false" ht="15" hidden="false" customHeight="true" outlineLevel="0" collapsed="false">
      <c r="A5" s="4" t="s">
        <v>44</v>
      </c>
      <c r="B5" s="4" t="s">
        <v>45</v>
      </c>
      <c r="C5" s="4" t="s">
        <v>46</v>
      </c>
      <c r="D5" s="4" t="s">
        <v>47</v>
      </c>
      <c r="E5" s="4" t="s">
        <v>42</v>
      </c>
      <c r="F5" s="4" t="s">
        <v>39</v>
      </c>
      <c r="G5" s="11" t="n">
        <v>46184</v>
      </c>
      <c r="H5" s="6" t="s">
        <v>32</v>
      </c>
      <c r="I5" s="11" t="n">
        <v>46190</v>
      </c>
      <c r="J5" s="6" t="s">
        <v>32</v>
      </c>
      <c r="K5" s="6" t="s">
        <v>32</v>
      </c>
      <c r="L5" s="6" t="s">
        <v>32</v>
      </c>
      <c r="M5" s="7" t="n">
        <v>12000</v>
      </c>
      <c r="N5" s="6" t="s">
        <v>32</v>
      </c>
      <c r="O5" s="7" t="n">
        <v>11400</v>
      </c>
      <c r="P5" s="8" t="n">
        <v>46211</v>
      </c>
      <c r="Q5" s="4"/>
      <c r="R5" s="9" t="str">
        <f aca="false">IF(N5="Sim","Fechado (Total)",IF(N5="Parcial","Fechado (Parcial)",IF(N5="Não","Perdido",IF(N5="Pendente","Pendente",IF(N5="Não precisa no momento","Não Precisa no Momento",IF(L5="Sim","Plano de Tratamento",IF(J5="Não","Não Compareceu",IF(J5="Sim","Compareceu",IF(H5="Não","Perdido",IF(H5="Sim","Consulta Marcada",IF(A5="","","Novo Paciente")))))))))))</f>
        <v>Fechado (Total)</v>
      </c>
      <c r="S5" s="4"/>
      <c r="T5" s="10" t="n">
        <f aca="false">IF(A5="","",SUMPRODUCT(($R$2:R5=R5)*($A$2:A5&lt;&gt;"")))</f>
        <v>2</v>
      </c>
      <c r="U5" s="10" t="str">
        <f aca="false">IF(A5="","",R5&amp;"|"&amp;T5)</f>
        <v>Fechado (Total)|2</v>
      </c>
      <c r="V5" s="10" t="str">
        <f aca="false">IF(G5="","",TEXT(G5,"mm/yyyy"))</f>
        <v>06/2026</v>
      </c>
      <c r="W5" s="10" t="str">
        <f aca="false">IF(P5="","",TEXT(P5,"mm/yyyy"))</f>
        <v>07/2026</v>
      </c>
      <c r="X5" s="10" t="str">
        <f aca="false">IF(A5="","",IF(OR(R5="Fechado (Total)",R5="Fechado (Parcial)"),"Fechado|"&amp;SUMPRODUCT((($R$2:R5="Fechado (Total)")+($R$2:R5="Fechado (Parcial)"))*($A$2:A5&lt;&gt;"")),""))</f>
        <v>Fechado|2</v>
      </c>
      <c r="Y5" s="10" t="str">
        <f aca="false">IF(A5="","",IF(D5="Indicação",SUMPRODUCT(($D$2:D5="Indicação")*($A$2:A5&lt;&gt;"")),""))</f>
        <v/>
      </c>
      <c r="Z5" s="10" t="str">
        <f aca="false">IF(Y5="","","Indicacao|"&amp;Y5)</f>
        <v/>
      </c>
      <c r="AA5" s="10" t="str">
        <f aca="false">IF(I5="","",TEXT(I5,"mm/yyyy"))</f>
        <v>06/2026</v>
      </c>
    </row>
    <row r="6" customFormat="false" ht="15" hidden="false" customHeight="true" outlineLevel="0" collapsed="false">
      <c r="A6" s="4" t="s">
        <v>48</v>
      </c>
      <c r="B6" s="4" t="s">
        <v>49</v>
      </c>
      <c r="C6" s="4" t="s">
        <v>50</v>
      </c>
      <c r="D6" s="4" t="s">
        <v>29</v>
      </c>
      <c r="E6" s="4" t="s">
        <v>42</v>
      </c>
      <c r="F6" s="4" t="s">
        <v>31</v>
      </c>
      <c r="G6" s="5" t="n">
        <v>46233</v>
      </c>
      <c r="H6" s="6" t="s">
        <v>32</v>
      </c>
      <c r="I6" s="5" t="n">
        <v>46204</v>
      </c>
      <c r="J6" s="6" t="s">
        <v>32</v>
      </c>
      <c r="K6" s="6" t="s">
        <v>32</v>
      </c>
      <c r="L6" s="6" t="s">
        <v>32</v>
      </c>
      <c r="M6" s="7" t="n">
        <v>15000</v>
      </c>
      <c r="N6" s="6" t="s">
        <v>33</v>
      </c>
      <c r="O6" s="7"/>
      <c r="P6" s="8"/>
      <c r="Q6" s="4" t="s">
        <v>34</v>
      </c>
      <c r="R6" s="9" t="str">
        <f aca="false">IF(N6="Sim","Fechado (Total)",IF(N6="Parcial","Fechado (Parcial)",IF(N6="Não","Perdido",IF(N6="Pendente","Pendente",IF(N6="Não precisa no momento","Não Precisa no Momento",IF(L6="Sim","Plano de Tratamento",IF(J6="Não","Não Compareceu",IF(J6="Sim","Compareceu",IF(H6="Não","Perdido",IF(H6="Sim","Consulta Marcada",IF(A6="","","Novo Paciente")))))))))))</f>
        <v>Perdido</v>
      </c>
      <c r="S6" s="4" t="s">
        <v>51</v>
      </c>
      <c r="T6" s="10" t="n">
        <f aca="false">IF(A6="","",SUMPRODUCT(($R$2:R6=R6)*($A$2:A6&lt;&gt;"")))</f>
        <v>3</v>
      </c>
      <c r="U6" s="10" t="str">
        <f aca="false">IF(A6="","",R6&amp;"|"&amp;T6)</f>
        <v>Perdido|3</v>
      </c>
      <c r="V6" s="10" t="str">
        <f aca="false">IF(G6="","",TEXT(G6,"mm/yyyy"))</f>
        <v>07/2026</v>
      </c>
      <c r="W6" s="10" t="str">
        <f aca="false">IF(P6="","",TEXT(P6,"mm/yyyy"))</f>
        <v/>
      </c>
      <c r="X6" s="10" t="str">
        <f aca="false">IF(A6="","",IF(OR(R6="Fechado (Total)",R6="Fechado (Parcial)"),"Fechado|"&amp;SUMPRODUCT((($R$2:R6="Fechado (Total)")+($R$2:R6="Fechado (Parcial)"))*($A$2:A6&lt;&gt;"")),""))</f>
        <v/>
      </c>
      <c r="Y6" s="10" t="n">
        <f aca="false">IF(A6="","",IF(D6="Indicação",SUMPRODUCT(($D$2:D6="Indicação")*($A$2:A6&lt;&gt;"")),""))</f>
        <v>3</v>
      </c>
      <c r="Z6" s="10" t="str">
        <f aca="false">IF(Y6="","","Indicacao|"&amp;Y6)</f>
        <v>Indicacao|3</v>
      </c>
      <c r="AA6" s="10" t="str">
        <f aca="false">IF(I6="","",TEXT(I6,"mm/yyyy"))</f>
        <v>07/2026</v>
      </c>
    </row>
    <row r="7" customFormat="false" ht="15" hidden="false" customHeight="true" outlineLevel="0" collapsed="false">
      <c r="A7" s="4" t="s">
        <v>52</v>
      </c>
      <c r="B7" s="4" t="s">
        <v>53</v>
      </c>
      <c r="C7" s="4" t="s">
        <v>54</v>
      </c>
      <c r="D7" s="4" t="s">
        <v>29</v>
      </c>
      <c r="E7" s="4" t="s">
        <v>42</v>
      </c>
      <c r="F7" s="4" t="s">
        <v>31</v>
      </c>
      <c r="G7" s="5" t="n">
        <v>46217</v>
      </c>
      <c r="H7" s="6" t="s">
        <v>32</v>
      </c>
      <c r="I7" s="5" t="n">
        <v>46218</v>
      </c>
      <c r="J7" s="6" t="s">
        <v>32</v>
      </c>
      <c r="K7" s="6" t="s">
        <v>32</v>
      </c>
      <c r="L7" s="6" t="s">
        <v>32</v>
      </c>
      <c r="M7" s="7" t="n">
        <v>8924</v>
      </c>
      <c r="N7" s="6" t="s">
        <v>32</v>
      </c>
      <c r="O7" s="7" t="n">
        <v>8567.86</v>
      </c>
      <c r="P7" s="8" t="n">
        <v>46226</v>
      </c>
      <c r="Q7" s="4"/>
      <c r="R7" s="9" t="str">
        <f aca="false">IF(N7="Sim","Fechado (Total)",IF(N7="Parcial","Fechado (Parcial)",IF(N7="Não","Perdido",IF(N7="Pendente","Pendente",IF(N7="Não precisa no momento","Não Precisa no Momento",IF(L7="Sim","Plano de Tratamento",IF(J7="Não","Não Compareceu",IF(J7="Sim","Compareceu",IF(H7="Não","Perdido",IF(H7="Sim","Consulta Marcada",IF(A7="","","Novo Paciente")))))))))))</f>
        <v>Fechado (Total)</v>
      </c>
      <c r="S7" s="4"/>
      <c r="T7" s="10" t="n">
        <f aca="false">IF(A7="","",SUMPRODUCT(($R$2:R7=R7)*($A$2:A7&lt;&gt;"")))</f>
        <v>3</v>
      </c>
      <c r="U7" s="10" t="str">
        <f aca="false">IF(A7="","",R7&amp;"|"&amp;T7)</f>
        <v>Fechado (Total)|3</v>
      </c>
      <c r="V7" s="10" t="str">
        <f aca="false">IF(G7="","",TEXT(G7,"mm/yyyy"))</f>
        <v>07/2026</v>
      </c>
      <c r="W7" s="10" t="str">
        <f aca="false">IF(P7="","",TEXT(P7,"mm/yyyy"))</f>
        <v>07/2026</v>
      </c>
      <c r="X7" s="10" t="str">
        <f aca="false">IF(A7="","",IF(OR(R7="Fechado (Total)",R7="Fechado (Parcial)"),"Fechado|"&amp;SUMPRODUCT((($R$2:R7="Fechado (Total)")+($R$2:R7="Fechado (Parcial)"))*($A$2:A7&lt;&gt;"")),""))</f>
        <v>Fechado|3</v>
      </c>
      <c r="Y7" s="10" t="n">
        <f aca="false">IF(A7="","",IF(D7="Indicação",SUMPRODUCT(($D$2:D7="Indicação")*($A$2:A7&lt;&gt;"")),""))</f>
        <v>4</v>
      </c>
      <c r="Z7" s="10" t="str">
        <f aca="false">IF(Y7="","","Indicacao|"&amp;Y7)</f>
        <v>Indicacao|4</v>
      </c>
      <c r="AA7" s="10" t="str">
        <f aca="false">IF(I7="","",TEXT(I7,"mm/yyyy"))</f>
        <v>07/2026</v>
      </c>
    </row>
    <row r="8" customFormat="false" ht="15" hidden="false" customHeight="true" outlineLevel="0" collapsed="false">
      <c r="A8" s="4" t="s">
        <v>55</v>
      </c>
      <c r="B8" s="4" t="s">
        <v>56</v>
      </c>
      <c r="C8" s="4"/>
      <c r="D8" s="4" t="s">
        <v>29</v>
      </c>
      <c r="E8" s="4" t="s">
        <v>57</v>
      </c>
      <c r="F8" s="4" t="s">
        <v>31</v>
      </c>
      <c r="G8" s="12" t="n">
        <v>46153</v>
      </c>
      <c r="H8" s="6" t="s">
        <v>32</v>
      </c>
      <c r="I8" s="5" t="n">
        <v>46204</v>
      </c>
      <c r="J8" s="6" t="s">
        <v>32</v>
      </c>
      <c r="K8" s="6" t="s">
        <v>32</v>
      </c>
      <c r="L8" s="6" t="s">
        <v>32</v>
      </c>
      <c r="M8" s="7" t="n">
        <v>4000</v>
      </c>
      <c r="N8" s="6" t="s">
        <v>32</v>
      </c>
      <c r="O8" s="7" t="n">
        <v>3433.17</v>
      </c>
      <c r="P8" s="8" t="n">
        <v>46220</v>
      </c>
      <c r="Q8" s="4"/>
      <c r="R8" s="9" t="str">
        <f aca="false">IF(N8="Sim","Fechado (Total)",IF(N8="Parcial","Fechado (Parcial)",IF(N8="Não","Perdido",IF(N8="Pendente","Pendente",IF(N8="Não precisa no momento","Não Precisa no Momento",IF(L8="Sim","Plano de Tratamento",IF(J8="Não","Não Compareceu",IF(J8="Sim","Compareceu",IF(H8="Não","Perdido",IF(H8="Sim","Consulta Marcada",IF(A8="","","Novo Paciente")))))))))))</f>
        <v>Fechado (Total)</v>
      </c>
      <c r="S8" s="4"/>
      <c r="T8" s="10" t="n">
        <f aca="false">IF(A8="","",SUMPRODUCT(($R$2:R8=R8)*($A$2:A8&lt;&gt;"")))</f>
        <v>4</v>
      </c>
      <c r="U8" s="10" t="str">
        <f aca="false">IF(A8="","",R8&amp;"|"&amp;T8)</f>
        <v>Fechado (Total)|4</v>
      </c>
      <c r="V8" s="10" t="str">
        <f aca="false">IF(G8="","",TEXT(G8,"mm/yyyy"))</f>
        <v>05/2026</v>
      </c>
      <c r="W8" s="10" t="str">
        <f aca="false">IF(P8="","",TEXT(P8,"mm/yyyy"))</f>
        <v>07/2026</v>
      </c>
      <c r="X8" s="10" t="str">
        <f aca="false">IF(A8="","",IF(OR(R8="Fechado (Total)",R8="Fechado (Parcial)"),"Fechado|"&amp;SUMPRODUCT((($R$2:R8="Fechado (Total)")+($R$2:R8="Fechado (Parcial)"))*($A$2:A8&lt;&gt;"")),""))</f>
        <v>Fechado|4</v>
      </c>
      <c r="Y8" s="10" t="n">
        <f aca="false">IF(A8="","",IF(D8="Indicação",SUMPRODUCT(($D$2:D8="Indicação")*($A$2:A8&lt;&gt;"")),""))</f>
        <v>5</v>
      </c>
      <c r="Z8" s="10" t="str">
        <f aca="false">IF(Y8="","","Indicacao|"&amp;Y8)</f>
        <v>Indicacao|5</v>
      </c>
      <c r="AA8" s="10" t="str">
        <f aca="false">IF(I8="","",TEXT(I8,"mm/yyyy"))</f>
        <v>07/2026</v>
      </c>
    </row>
    <row r="9" customFormat="false" ht="15" hidden="false" customHeight="true" outlineLevel="0" collapsed="false">
      <c r="A9" s="4" t="s">
        <v>58</v>
      </c>
      <c r="B9" s="4" t="s">
        <v>59</v>
      </c>
      <c r="C9" s="4" t="s">
        <v>60</v>
      </c>
      <c r="D9" s="4" t="s">
        <v>29</v>
      </c>
      <c r="E9" s="4" t="s">
        <v>61</v>
      </c>
      <c r="F9" s="4" t="s">
        <v>31</v>
      </c>
      <c r="G9" s="5" t="n">
        <v>45845</v>
      </c>
      <c r="H9" s="6" t="s">
        <v>32</v>
      </c>
      <c r="I9" s="5" t="n">
        <v>46205</v>
      </c>
      <c r="J9" s="6" t="s">
        <v>32</v>
      </c>
      <c r="K9" s="6" t="s">
        <v>32</v>
      </c>
      <c r="L9" s="6" t="s">
        <v>32</v>
      </c>
      <c r="M9" s="7" t="n">
        <v>4000</v>
      </c>
      <c r="N9" s="6" t="s">
        <v>62</v>
      </c>
      <c r="O9" s="7"/>
      <c r="P9" s="8"/>
      <c r="Q9" s="4" t="s">
        <v>63</v>
      </c>
      <c r="R9" s="9" t="str">
        <f aca="false">IF(N9="Sim","Fechado (Total)",IF(N9="Parcial","Fechado (Parcial)",IF(N9="Não","Perdido",IF(N9="Pendente","Pendente",IF(N9="Não precisa no momento","Não Precisa no Momento",IF(L9="Sim","Plano de Tratamento",IF(J9="Não","Não Compareceu",IF(J9="Sim","Compareceu",IF(H9="Não","Perdido",IF(H9="Sim","Consulta Marcada",IF(A9="","","Novo Paciente")))))))))))</f>
        <v>Pendente</v>
      </c>
      <c r="S9" s="4" t="s">
        <v>64</v>
      </c>
      <c r="T9" s="10" t="n">
        <f aca="false">IF(A9="","",SUMPRODUCT(($R$2:R9=R9)*($A$2:A9&lt;&gt;"")))</f>
        <v>1</v>
      </c>
      <c r="U9" s="10" t="str">
        <f aca="false">IF(A9="","",R9&amp;"|"&amp;T9)</f>
        <v>Pendente|1</v>
      </c>
      <c r="V9" s="10" t="str">
        <f aca="false">IF(G9="","",TEXT(G9,"mm/yyyy"))</f>
        <v>07/2025</v>
      </c>
      <c r="W9" s="10" t="str">
        <f aca="false">IF(P9="","",TEXT(P9,"mm/yyyy"))</f>
        <v/>
      </c>
      <c r="X9" s="10" t="str">
        <f aca="false">IF(A9="","",IF(OR(R9="Fechado (Total)",R9="Fechado (Parcial)"),"Fechado|"&amp;SUMPRODUCT((($R$2:R9="Fechado (Total)")+($R$2:R9="Fechado (Parcial)"))*($A$2:A9&lt;&gt;"")),""))</f>
        <v/>
      </c>
      <c r="Y9" s="10" t="n">
        <f aca="false">IF(A9="","",IF(D9="Indicação",SUMPRODUCT(($D$2:D9="Indicação")*($A$2:A9&lt;&gt;"")),""))</f>
        <v>6</v>
      </c>
      <c r="Z9" s="10" t="str">
        <f aca="false">IF(Y9="","","Indicacao|"&amp;Y9)</f>
        <v>Indicacao|6</v>
      </c>
      <c r="AA9" s="10" t="str">
        <f aca="false">IF(I9="","",TEXT(I9,"mm/yyyy"))</f>
        <v>07/2026</v>
      </c>
    </row>
    <row r="10" customFormat="false" ht="15" hidden="false" customHeight="true" outlineLevel="0" collapsed="false">
      <c r="A10" s="4" t="s">
        <v>65</v>
      </c>
      <c r="B10" s="4" t="s">
        <v>66</v>
      </c>
      <c r="C10" s="4" t="s">
        <v>67</v>
      </c>
      <c r="D10" s="4" t="s">
        <v>29</v>
      </c>
      <c r="E10" s="4" t="s">
        <v>57</v>
      </c>
      <c r="F10" s="4" t="s">
        <v>39</v>
      </c>
      <c r="G10" s="5" t="n">
        <v>46205</v>
      </c>
      <c r="H10" s="6" t="s">
        <v>32</v>
      </c>
      <c r="I10" s="5" t="n">
        <v>46205</v>
      </c>
      <c r="J10" s="6" t="s">
        <v>32</v>
      </c>
      <c r="K10" s="6" t="s">
        <v>32</v>
      </c>
      <c r="L10" s="6" t="s">
        <v>32</v>
      </c>
      <c r="M10" s="7" t="n">
        <v>7000</v>
      </c>
      <c r="N10" s="6" t="s">
        <v>32</v>
      </c>
      <c r="O10" s="7" t="n">
        <v>6650</v>
      </c>
      <c r="P10" s="8" t="n">
        <v>46218</v>
      </c>
      <c r="Q10" s="4"/>
      <c r="R10" s="9" t="str">
        <f aca="false">IF(N10="Sim","Fechado (Total)",IF(N10="Parcial","Fechado (Parcial)",IF(N10="Não","Perdido",IF(N10="Pendente","Pendente",IF(N10="Não precisa no momento","Não Precisa no Momento",IF(L10="Sim","Plano de Tratamento",IF(J10="Não","Não Compareceu",IF(J10="Sim","Compareceu",IF(H10="Não","Perdido",IF(H10="Sim","Consulta Marcada",IF(A10="","","Novo Paciente")))))))))))</f>
        <v>Fechado (Total)</v>
      </c>
      <c r="S10" s="4"/>
      <c r="T10" s="10" t="n">
        <f aca="false">IF(A10="","",SUMPRODUCT(($R$2:R10=R10)*($A$2:A10&lt;&gt;"")))</f>
        <v>5</v>
      </c>
      <c r="U10" s="10" t="str">
        <f aca="false">IF(A10="","",R10&amp;"|"&amp;T10)</f>
        <v>Fechado (Total)|5</v>
      </c>
      <c r="V10" s="10" t="str">
        <f aca="false">IF(G10="","",TEXT(G10,"mm/yyyy"))</f>
        <v>07/2026</v>
      </c>
      <c r="W10" s="10" t="str">
        <f aca="false">IF(P10="","",TEXT(P10,"mm/yyyy"))</f>
        <v>07/2026</v>
      </c>
      <c r="X10" s="10" t="str">
        <f aca="false">IF(A10="","",IF(OR(R10="Fechado (Total)",R10="Fechado (Parcial)"),"Fechado|"&amp;SUMPRODUCT((($R$2:R10="Fechado (Total)")+($R$2:R10="Fechado (Parcial)"))*($A$2:A10&lt;&gt;"")),""))</f>
        <v>Fechado|5</v>
      </c>
      <c r="Y10" s="10" t="n">
        <f aca="false">IF(A10="","",IF(D10="Indicação",SUMPRODUCT(($D$2:D10="Indicação")*($A$2:A10&lt;&gt;"")),""))</f>
        <v>7</v>
      </c>
      <c r="Z10" s="10" t="str">
        <f aca="false">IF(Y10="","","Indicacao|"&amp;Y10)</f>
        <v>Indicacao|7</v>
      </c>
      <c r="AA10" s="10" t="str">
        <f aca="false">IF(I10="","",TEXT(I10,"mm/yyyy"))</f>
        <v>07/2026</v>
      </c>
    </row>
    <row r="11" customFormat="false" ht="15" hidden="false" customHeight="true" outlineLevel="0" collapsed="false">
      <c r="A11" s="13" t="s">
        <v>68</v>
      </c>
      <c r="B11" s="4" t="s">
        <v>69</v>
      </c>
      <c r="C11" s="4"/>
      <c r="D11" s="4" t="s">
        <v>29</v>
      </c>
      <c r="E11" s="4" t="s">
        <v>57</v>
      </c>
      <c r="F11" s="4" t="s">
        <v>31</v>
      </c>
      <c r="G11" s="5" t="n">
        <v>46210</v>
      </c>
      <c r="H11" s="6" t="s">
        <v>32</v>
      </c>
      <c r="I11" s="5" t="n">
        <v>46212</v>
      </c>
      <c r="J11" s="6" t="s">
        <v>32</v>
      </c>
      <c r="K11" s="6" t="s">
        <v>32</v>
      </c>
      <c r="L11" s="6" t="s">
        <v>32</v>
      </c>
      <c r="M11" s="7"/>
      <c r="N11" s="6" t="s">
        <v>33</v>
      </c>
      <c r="O11" s="7"/>
      <c r="P11" s="8"/>
      <c r="Q11" s="4"/>
      <c r="R11" s="9" t="str">
        <f aca="false">IF(N11="Sim","Fechado (Total)",IF(N11="Parcial","Fechado (Parcial)",IF(N11="Não","Perdido",IF(N11="Pendente","Pendente",IF(N11="Não precisa no momento","Não Precisa no Momento",IF(L11="Sim","Plano de Tratamento",IF(J11="Não","Não Compareceu",IF(J11="Sim","Compareceu",IF(H11="Não","Perdido",IF(H11="Sim","Consulta Marcada",IF(A11="","","Novo Paciente")))))))))))</f>
        <v>Perdido</v>
      </c>
      <c r="S11" s="4" t="s">
        <v>70</v>
      </c>
      <c r="T11" s="10" t="n">
        <f aca="false">IF(A11="","",SUMPRODUCT(($R$2:R11=R11)*($A$2:A11&lt;&gt;"")))</f>
        <v>4</v>
      </c>
      <c r="U11" s="10" t="str">
        <f aca="false">IF(A11="","",R11&amp;"|"&amp;T11)</f>
        <v>Perdido|4</v>
      </c>
      <c r="V11" s="10" t="str">
        <f aca="false">IF(G11="","",TEXT(G11,"mm/yyyy"))</f>
        <v>07/2026</v>
      </c>
      <c r="W11" s="10" t="str">
        <f aca="false">IF(P11="","",TEXT(P11,"mm/yyyy"))</f>
        <v/>
      </c>
      <c r="X11" s="10" t="str">
        <f aca="false">IF(A11="","",IF(OR(R11="Fechado (Total)",R11="Fechado (Parcial)"),"Fechado|"&amp;SUMPRODUCT((($R$2:R11="Fechado (Total)")+($R$2:R11="Fechado (Parcial)"))*($A$2:A11&lt;&gt;"")),""))</f>
        <v/>
      </c>
      <c r="Y11" s="10" t="n">
        <f aca="false">IF(A11="","",IF(D11="Indicação",SUMPRODUCT(($D$2:D11="Indicação")*($A$2:A11&lt;&gt;"")),""))</f>
        <v>8</v>
      </c>
      <c r="Z11" s="10" t="str">
        <f aca="false">IF(Y11="","","Indicacao|"&amp;Y11)</f>
        <v>Indicacao|8</v>
      </c>
      <c r="AA11" s="10" t="str">
        <f aca="false">IF(I11="","",TEXT(I11,"mm/yyyy"))</f>
        <v>07/2026</v>
      </c>
    </row>
    <row r="12" customFormat="false" ht="15" hidden="false" customHeight="true" outlineLevel="0" collapsed="false">
      <c r="A12" s="14" t="s">
        <v>71</v>
      </c>
      <c r="B12" s="4" t="s">
        <v>69</v>
      </c>
      <c r="C12" s="4"/>
      <c r="D12" s="4" t="s">
        <v>29</v>
      </c>
      <c r="E12" s="4" t="s">
        <v>72</v>
      </c>
      <c r="F12" s="4" t="s">
        <v>31</v>
      </c>
      <c r="G12" s="5" t="n">
        <v>46210</v>
      </c>
      <c r="H12" s="6" t="s">
        <v>32</v>
      </c>
      <c r="I12" s="5" t="n">
        <v>46212</v>
      </c>
      <c r="J12" s="6" t="s">
        <v>32</v>
      </c>
      <c r="K12" s="6" t="s">
        <v>32</v>
      </c>
      <c r="L12" s="6" t="s">
        <v>32</v>
      </c>
      <c r="M12" s="7" t="n">
        <v>10000</v>
      </c>
      <c r="N12" s="6" t="s">
        <v>33</v>
      </c>
      <c r="O12" s="7"/>
      <c r="P12" s="8"/>
      <c r="Q12" s="4"/>
      <c r="R12" s="9" t="str">
        <f aca="false">IF(N12="Sim","Fechado (Total)",IF(N12="Parcial","Fechado (Parcial)",IF(N12="Não","Perdido",IF(N12="Pendente","Pendente",IF(N12="Não precisa no momento","Não Precisa no Momento",IF(L12="Sim","Plano de Tratamento",IF(J12="Não","Não Compareceu",IF(J12="Sim","Compareceu",IF(H12="Não","Perdido",IF(H12="Sim","Consulta Marcada",IF(A12="","","Novo Paciente")))))))))))</f>
        <v>Perdido</v>
      </c>
      <c r="S12" s="4" t="s">
        <v>70</v>
      </c>
      <c r="T12" s="10" t="n">
        <f aca="false">IF(A12="","",SUMPRODUCT(($R$2:R12=R12)*($A$2:A12&lt;&gt;"")))</f>
        <v>5</v>
      </c>
      <c r="U12" s="10" t="str">
        <f aca="false">IF(A12="","",R12&amp;"|"&amp;T12)</f>
        <v>Perdido|5</v>
      </c>
      <c r="V12" s="10" t="str">
        <f aca="false">IF(G12="","",TEXT(G12,"mm/yyyy"))</f>
        <v>07/2026</v>
      </c>
      <c r="W12" s="10" t="str">
        <f aca="false">IF(P12="","",TEXT(P12,"mm/yyyy"))</f>
        <v/>
      </c>
      <c r="X12" s="10" t="str">
        <f aca="false">IF(A12="","",IF(OR(R12="Fechado (Total)",R12="Fechado (Parcial)"),"Fechado|"&amp;SUMPRODUCT((($R$2:R12="Fechado (Total)")+($R$2:R12="Fechado (Parcial)"))*($A$2:A12&lt;&gt;"")),""))</f>
        <v/>
      </c>
      <c r="Y12" s="10" t="n">
        <f aca="false">IF(A12="","",IF(D12="Indicação",SUMPRODUCT(($D$2:D12="Indicação")*($A$2:A12&lt;&gt;"")),""))</f>
        <v>9</v>
      </c>
      <c r="Z12" s="10" t="str">
        <f aca="false">IF(Y12="","","Indicacao|"&amp;Y12)</f>
        <v>Indicacao|9</v>
      </c>
      <c r="AA12" s="10" t="str">
        <f aca="false">IF(I12="","",TEXT(I12,"mm/yyyy"))</f>
        <v>07/2026</v>
      </c>
    </row>
    <row r="13" customFormat="false" ht="15" hidden="false" customHeight="true" outlineLevel="0" collapsed="false">
      <c r="A13" s="14" t="s">
        <v>73</v>
      </c>
      <c r="B13" s="4" t="s">
        <v>74</v>
      </c>
      <c r="C13" s="4"/>
      <c r="D13" s="4" t="s">
        <v>29</v>
      </c>
      <c r="E13" s="4" t="s">
        <v>75</v>
      </c>
      <c r="F13" s="4" t="s">
        <v>31</v>
      </c>
      <c r="G13" s="5" t="n">
        <v>46213</v>
      </c>
      <c r="H13" s="6" t="s">
        <v>32</v>
      </c>
      <c r="I13" s="5" t="n">
        <v>46216</v>
      </c>
      <c r="J13" s="6" t="s">
        <v>32</v>
      </c>
      <c r="K13" s="6" t="s">
        <v>33</v>
      </c>
      <c r="L13" s="6" t="s">
        <v>33</v>
      </c>
      <c r="M13" s="7" t="n">
        <v>15000</v>
      </c>
      <c r="N13" s="6" t="s">
        <v>33</v>
      </c>
      <c r="O13" s="7"/>
      <c r="P13" s="8"/>
      <c r="Q13" s="4"/>
      <c r="R13" s="9" t="str">
        <f aca="false">IF(N13="Sim","Fechado (Total)",IF(N13="Parcial","Fechado (Parcial)",IF(N13="Não","Perdido",IF(N13="Pendente","Pendente",IF(N13="Não precisa no momento","Não Precisa no Momento",IF(L13="Sim","Plano de Tratamento",IF(J13="Não","Não Compareceu",IF(J13="Sim","Compareceu",IF(H13="Não","Perdido",IF(H13="Sim","Consulta Marcada",IF(A13="","","Novo Paciente")))))))))))</f>
        <v>Perdido</v>
      </c>
      <c r="S13" s="4" t="s">
        <v>76</v>
      </c>
      <c r="T13" s="10" t="n">
        <f aca="false">IF(A13="","",SUMPRODUCT(($R$2:R13=R13)*($A$2:A13&lt;&gt;"")))</f>
        <v>6</v>
      </c>
      <c r="U13" s="10" t="str">
        <f aca="false">IF(A13="","",R13&amp;"|"&amp;T13)</f>
        <v>Perdido|6</v>
      </c>
      <c r="V13" s="10" t="str">
        <f aca="false">IF(G13="","",TEXT(G13,"mm/yyyy"))</f>
        <v>07/2026</v>
      </c>
      <c r="W13" s="10" t="str">
        <f aca="false">IF(P13="","",TEXT(P13,"mm/yyyy"))</f>
        <v/>
      </c>
      <c r="X13" s="10" t="str">
        <f aca="false">IF(A13="","",IF(OR(R13="Fechado (Total)",R13="Fechado (Parcial)"),"Fechado|"&amp;SUMPRODUCT((($R$2:R13="Fechado (Total)")+($R$2:R13="Fechado (Parcial)"))*($A$2:A13&lt;&gt;"")),""))</f>
        <v/>
      </c>
      <c r="Y13" s="10" t="n">
        <f aca="false">IF(A13="","",IF(D13="Indicação",SUMPRODUCT(($D$2:D13="Indicação")*($A$2:A13&lt;&gt;"")),""))</f>
        <v>10</v>
      </c>
      <c r="Z13" s="10" t="str">
        <f aca="false">IF(Y13="","","Indicacao|"&amp;Y13)</f>
        <v>Indicacao|10</v>
      </c>
      <c r="AA13" s="10" t="str">
        <f aca="false">IF(I13="","",TEXT(I13,"mm/yyyy"))</f>
        <v>07/2026</v>
      </c>
    </row>
    <row r="14" customFormat="false" ht="15" hidden="false" customHeight="true" outlineLevel="0" collapsed="false">
      <c r="A14" s="14" t="s">
        <v>77</v>
      </c>
      <c r="B14" s="4" t="s">
        <v>78</v>
      </c>
      <c r="C14" s="4" t="s">
        <v>79</v>
      </c>
      <c r="D14" s="4" t="s">
        <v>29</v>
      </c>
      <c r="E14" s="4" t="s">
        <v>80</v>
      </c>
      <c r="F14" s="4" t="s">
        <v>31</v>
      </c>
      <c r="G14" s="5" t="n">
        <v>46205</v>
      </c>
      <c r="H14" s="6" t="s">
        <v>32</v>
      </c>
      <c r="I14" s="5" t="n">
        <v>46211</v>
      </c>
      <c r="J14" s="6" t="s">
        <v>32</v>
      </c>
      <c r="K14" s="6" t="s">
        <v>32</v>
      </c>
      <c r="L14" s="6" t="s">
        <v>32</v>
      </c>
      <c r="M14" s="7" t="n">
        <v>15800</v>
      </c>
      <c r="N14" s="6" t="s">
        <v>32</v>
      </c>
      <c r="O14" s="7" t="n">
        <v>15800</v>
      </c>
      <c r="P14" s="8" t="n">
        <v>46252</v>
      </c>
      <c r="Q14" s="4" t="s">
        <v>63</v>
      </c>
      <c r="R14" s="9" t="str">
        <f aca="false">IF(N14="Sim","Fechado (Total)",IF(N14="Parcial","Fechado (Parcial)",IF(N14="Não","Perdido",IF(N14="Pendente","Pendente",IF(N14="Não precisa no momento","Não Precisa no Momento",IF(L14="Sim","Plano de Tratamento",IF(J14="Não","Não Compareceu",IF(J14="Sim","Compareceu",IF(H14="Não","Perdido",IF(H14="Sim","Consulta Marcada",IF(A14="","","Novo Paciente")))))))))))</f>
        <v>Fechado (Total)</v>
      </c>
      <c r="S14" s="4" t="s">
        <v>81</v>
      </c>
      <c r="T14" s="10" t="n">
        <f aca="false">IF(A14="","",SUMPRODUCT(($R$2:R14=R14)*($A$2:A14&lt;&gt;"")))</f>
        <v>6</v>
      </c>
      <c r="U14" s="10" t="str">
        <f aca="false">IF(A14="","",R14&amp;"|"&amp;T14)</f>
        <v>Fechado (Total)|6</v>
      </c>
      <c r="V14" s="10" t="str">
        <f aca="false">IF(G14="","",TEXT(G14,"mm/yyyy"))</f>
        <v>07/2026</v>
      </c>
      <c r="W14" s="10" t="str">
        <f aca="false">IF(P14="","",TEXT(P14,"mm/yyyy"))</f>
        <v>08/2026</v>
      </c>
      <c r="X14" s="10" t="str">
        <f aca="false">IF(A14="","",IF(OR(R14="Fechado (Total)",R14="Fechado (Parcial)"),"Fechado|"&amp;SUMPRODUCT((($R$2:R14="Fechado (Total)")+($R$2:R14="Fechado (Parcial)"))*($A$2:A14&lt;&gt;"")),""))</f>
        <v>Fechado|6</v>
      </c>
      <c r="Y14" s="10" t="n">
        <f aca="false">IF(A14="","",IF(D14="Indicação",SUMPRODUCT(($D$2:D14="Indicação")*($A$2:A14&lt;&gt;"")),""))</f>
        <v>11</v>
      </c>
      <c r="Z14" s="10" t="str">
        <f aca="false">IF(Y14="","","Indicacao|"&amp;Y14)</f>
        <v>Indicacao|11</v>
      </c>
      <c r="AA14" s="10" t="str">
        <f aca="false">IF(I14="","",TEXT(I14,"mm/yyyy"))</f>
        <v>07/2026</v>
      </c>
    </row>
    <row r="15" customFormat="false" ht="15" hidden="false" customHeight="true" outlineLevel="0" collapsed="false">
      <c r="A15" s="14" t="s">
        <v>82</v>
      </c>
      <c r="B15" s="4" t="s">
        <v>83</v>
      </c>
      <c r="C15" s="4" t="s">
        <v>84</v>
      </c>
      <c r="D15" s="4" t="s">
        <v>29</v>
      </c>
      <c r="E15" s="4" t="s">
        <v>85</v>
      </c>
      <c r="F15" s="4" t="s">
        <v>31</v>
      </c>
      <c r="G15" s="5" t="n">
        <v>46210</v>
      </c>
      <c r="H15" s="6" t="s">
        <v>32</v>
      </c>
      <c r="I15" s="15" t="n">
        <v>46241</v>
      </c>
      <c r="J15" s="6" t="s">
        <v>32</v>
      </c>
      <c r="K15" s="6" t="s">
        <v>32</v>
      </c>
      <c r="L15" s="6" t="s">
        <v>32</v>
      </c>
      <c r="M15" s="7" t="n">
        <v>3800</v>
      </c>
      <c r="N15" s="6" t="s">
        <v>33</v>
      </c>
      <c r="O15" s="7"/>
      <c r="P15" s="8"/>
      <c r="Q15" s="4"/>
      <c r="R15" s="9" t="str">
        <f aca="false">IF(N15="Sim","Fechado (Total)",IF(N15="Parcial","Fechado (Parcial)",IF(N15="Não","Perdido",IF(N15="Pendente","Pendente",IF(N15="Não precisa no momento","Não Precisa no Momento",IF(L15="Sim","Plano de Tratamento",IF(J15="Não","Não Compareceu",IF(J15="Sim","Compareceu",IF(H15="Não","Perdido",IF(H15="Sim","Consulta Marcada",IF(A15="","","Novo Paciente")))))))))))</f>
        <v>Perdido</v>
      </c>
      <c r="S15" s="4"/>
      <c r="T15" s="10" t="n">
        <f aca="false">IF(A15="","",SUMPRODUCT(($R$2:R15=R15)*($A$2:A15&lt;&gt;"")))</f>
        <v>7</v>
      </c>
      <c r="U15" s="10" t="str">
        <f aca="false">IF(A15="","",R15&amp;"|"&amp;T15)</f>
        <v>Perdido|7</v>
      </c>
      <c r="V15" s="10" t="str">
        <f aca="false">IF(G15="","",TEXT(G15,"mm/yyyy"))</f>
        <v>07/2026</v>
      </c>
      <c r="W15" s="10" t="str">
        <f aca="false">IF(P15="","",TEXT(P15,"mm/yyyy"))</f>
        <v/>
      </c>
      <c r="X15" s="10" t="str">
        <f aca="false">IF(A15="","",IF(OR(R15="Fechado (Total)",R15="Fechado (Parcial)"),"Fechado|"&amp;SUMPRODUCT((($R$2:R15="Fechado (Total)")+($R$2:R15="Fechado (Parcial)"))*($A$2:A15&lt;&gt;"")),""))</f>
        <v/>
      </c>
      <c r="Y15" s="10" t="n">
        <f aca="false">IF(A15="","",IF(D15="Indicação",SUMPRODUCT(($D$2:D15="Indicação")*($A$2:A15&lt;&gt;"")),""))</f>
        <v>12</v>
      </c>
      <c r="Z15" s="10" t="str">
        <f aca="false">IF(Y15="","","Indicacao|"&amp;Y15)</f>
        <v>Indicacao|12</v>
      </c>
      <c r="AA15" s="10" t="str">
        <f aca="false">IF(I15="","",TEXT(I15,"mm/yyyy"))</f>
        <v>08/2026</v>
      </c>
    </row>
    <row r="16" customFormat="false" ht="15" hidden="false" customHeight="true" outlineLevel="0" collapsed="false">
      <c r="A16" s="4" t="s">
        <v>86</v>
      </c>
      <c r="B16" s="4" t="s">
        <v>87</v>
      </c>
      <c r="C16" s="4" t="s">
        <v>88</v>
      </c>
      <c r="D16" s="4" t="s">
        <v>29</v>
      </c>
      <c r="E16" s="4" t="s">
        <v>61</v>
      </c>
      <c r="F16" s="4" t="s">
        <v>39</v>
      </c>
      <c r="G16" s="11" t="n">
        <v>46203</v>
      </c>
      <c r="H16" s="6" t="s">
        <v>32</v>
      </c>
      <c r="I16" s="5" t="n">
        <v>46217</v>
      </c>
      <c r="J16" s="6" t="s">
        <v>32</v>
      </c>
      <c r="K16" s="6" t="s">
        <v>32</v>
      </c>
      <c r="L16" s="6" t="s">
        <v>32</v>
      </c>
      <c r="M16" s="7" t="n">
        <v>2000</v>
      </c>
      <c r="N16" s="6" t="s">
        <v>32</v>
      </c>
      <c r="O16" s="7" t="n">
        <v>1941</v>
      </c>
      <c r="P16" s="8" t="n">
        <v>46217</v>
      </c>
      <c r="Q16" s="4"/>
      <c r="R16" s="9" t="str">
        <f aca="false">IF(N16="Sim","Fechado (Total)",IF(N16="Parcial","Fechado (Parcial)",IF(N16="Não","Perdido",IF(N16="Pendente","Pendente",IF(N16="Não precisa no momento","Não Precisa no Momento",IF(L16="Sim","Plano de Tratamento",IF(J16="Não","Não Compareceu",IF(J16="Sim","Compareceu",IF(H16="Não","Perdido",IF(H16="Sim","Consulta Marcada",IF(A16="","","Novo Paciente")))))))))))</f>
        <v>Fechado (Total)</v>
      </c>
      <c r="S16" s="4"/>
      <c r="T16" s="10" t="n">
        <f aca="false">IF(A16="","",SUMPRODUCT(($R$2:R16=R16)*($A$2:A16&lt;&gt;"")))</f>
        <v>7</v>
      </c>
      <c r="U16" s="10" t="str">
        <f aca="false">IF(A16="","",R16&amp;"|"&amp;T16)</f>
        <v>Fechado (Total)|7</v>
      </c>
      <c r="V16" s="10" t="str">
        <f aca="false">IF(G16="","",TEXT(G16,"mm/yyyy"))</f>
        <v>06/2026</v>
      </c>
      <c r="W16" s="10" t="str">
        <f aca="false">IF(P16="","",TEXT(P16,"mm/yyyy"))</f>
        <v>07/2026</v>
      </c>
      <c r="X16" s="10" t="str">
        <f aca="false">IF(A16="","",IF(OR(R16="Fechado (Total)",R16="Fechado (Parcial)"),"Fechado|"&amp;SUMPRODUCT((($R$2:R16="Fechado (Total)")+($R$2:R16="Fechado (Parcial)"))*($A$2:A16&lt;&gt;"")),""))</f>
        <v>Fechado|7</v>
      </c>
      <c r="Y16" s="10" t="n">
        <f aca="false">IF(A16="","",IF(D16="Indicação",SUMPRODUCT(($D$2:D16="Indicação")*($A$2:A16&lt;&gt;"")),""))</f>
        <v>13</v>
      </c>
      <c r="Z16" s="10" t="str">
        <f aca="false">IF(Y16="","","Indicacao|"&amp;Y16)</f>
        <v>Indicacao|13</v>
      </c>
      <c r="AA16" s="10" t="str">
        <f aca="false">IF(I16="","",TEXT(I16,"mm/yyyy"))</f>
        <v>07/2026</v>
      </c>
    </row>
    <row r="17" customFormat="false" ht="15" hidden="false" customHeight="true" outlineLevel="0" collapsed="false">
      <c r="A17" s="16" t="s">
        <v>89</v>
      </c>
      <c r="B17" s="4" t="s">
        <v>90</v>
      </c>
      <c r="C17" s="4"/>
      <c r="D17" s="4" t="s">
        <v>29</v>
      </c>
      <c r="E17" s="4" t="s">
        <v>42</v>
      </c>
      <c r="F17" s="4" t="s">
        <v>39</v>
      </c>
      <c r="G17" s="11" t="n">
        <v>46198</v>
      </c>
      <c r="H17" s="6" t="s">
        <v>32</v>
      </c>
      <c r="I17" s="5" t="n">
        <v>46218</v>
      </c>
      <c r="J17" s="6" t="s">
        <v>32</v>
      </c>
      <c r="K17" s="6" t="s">
        <v>32</v>
      </c>
      <c r="L17" s="6" t="s">
        <v>32</v>
      </c>
      <c r="M17" s="7" t="n">
        <v>11500</v>
      </c>
      <c r="N17" s="6" t="s">
        <v>62</v>
      </c>
      <c r="O17" s="7"/>
      <c r="P17" s="8"/>
      <c r="Q17" s="4"/>
      <c r="R17" s="9" t="str">
        <f aca="false">IF(N17="Sim","Fechado (Total)",IF(N17="Parcial","Fechado (Parcial)",IF(N17="Não","Perdido",IF(N17="Pendente","Pendente",IF(N17="Não precisa no momento","Não Precisa no Momento",IF(L17="Sim","Plano de Tratamento",IF(J17="Não","Não Compareceu",IF(J17="Sim","Compareceu",IF(H17="Não","Perdido",IF(H17="Sim","Consulta Marcada",IF(A17="","","Novo Paciente")))))))))))</f>
        <v>Pendente</v>
      </c>
      <c r="S17" s="4"/>
      <c r="T17" s="10" t="n">
        <f aca="false">IF(A17="","",SUMPRODUCT(($R$2:R17=R17)*($A$2:A17&lt;&gt;"")))</f>
        <v>2</v>
      </c>
      <c r="U17" s="10" t="str">
        <f aca="false">IF(A17="","",R17&amp;"|"&amp;T17)</f>
        <v>Pendente|2</v>
      </c>
      <c r="V17" s="10" t="str">
        <f aca="false">IF(G17="","",TEXT(G17,"mm/yyyy"))</f>
        <v>06/2026</v>
      </c>
      <c r="W17" s="10" t="str">
        <f aca="false">IF(P17="","",TEXT(P17,"mm/yyyy"))</f>
        <v/>
      </c>
      <c r="X17" s="10" t="str">
        <f aca="false">IF(A17="","",IF(OR(R17="Fechado (Total)",R17="Fechado (Parcial)"),"Fechado|"&amp;SUMPRODUCT((($R$2:R17="Fechado (Total)")+($R$2:R17="Fechado (Parcial)"))*($A$2:A17&lt;&gt;"")),""))</f>
        <v/>
      </c>
      <c r="Y17" s="10" t="n">
        <f aca="false">IF(A17="","",IF(D17="Indicação",SUMPRODUCT(($D$2:D17="Indicação")*($A$2:A17&lt;&gt;"")),""))</f>
        <v>14</v>
      </c>
      <c r="Z17" s="10" t="str">
        <f aca="false">IF(Y17="","","Indicacao|"&amp;Y17)</f>
        <v>Indicacao|14</v>
      </c>
      <c r="AA17" s="10" t="str">
        <f aca="false">IF(I17="","",TEXT(I17,"mm/yyyy"))</f>
        <v>07/2026</v>
      </c>
    </row>
    <row r="18" customFormat="false" ht="15" hidden="false" customHeight="true" outlineLevel="0" collapsed="false">
      <c r="A18" s="17" t="s">
        <v>91</v>
      </c>
      <c r="B18" s="4" t="s">
        <v>92</v>
      </c>
      <c r="C18" s="4"/>
      <c r="D18" s="4" t="s">
        <v>29</v>
      </c>
      <c r="E18" s="4" t="s">
        <v>93</v>
      </c>
      <c r="F18" s="4" t="s">
        <v>39</v>
      </c>
      <c r="G18" s="5" t="n">
        <v>46213</v>
      </c>
      <c r="H18" s="6" t="s">
        <v>32</v>
      </c>
      <c r="I18" s="5" t="n">
        <v>46218</v>
      </c>
      <c r="J18" s="6" t="s">
        <v>32</v>
      </c>
      <c r="K18" s="6" t="s">
        <v>32</v>
      </c>
      <c r="L18" s="6"/>
      <c r="M18" s="7"/>
      <c r="N18" s="6"/>
      <c r="O18" s="7"/>
      <c r="P18" s="8"/>
      <c r="Q18" s="4"/>
      <c r="R18" s="9" t="str">
        <f aca="false">IF(N18="Sim","Fechado (Total)",IF(N18="Parcial","Fechado (Parcial)",IF(N18="Não","Perdido",IF(N18="Pendente","Pendente",IF(N18="Não precisa no momento","Não Precisa no Momento",IF(L18="Sim","Plano de Tratamento",IF(J18="Não","Não Compareceu",IF(J18="Sim","Compareceu",IF(H18="Não","Perdido",IF(H18="Sim","Consulta Marcada",IF(A18="","","Novo Paciente")))))))))))</f>
        <v>Compareceu</v>
      </c>
      <c r="S18" s="4"/>
      <c r="T18" s="10" t="n">
        <f aca="false">IF(A18="","",SUMPRODUCT(($R$2:R18=R18)*($A$2:A18&lt;&gt;"")))</f>
        <v>1</v>
      </c>
      <c r="U18" s="10" t="str">
        <f aca="false">IF(A18="","",R18&amp;"|"&amp;T18)</f>
        <v>Compareceu|1</v>
      </c>
      <c r="V18" s="10" t="str">
        <f aca="false">IF(G18="","",TEXT(G18,"mm/yyyy"))</f>
        <v>07/2026</v>
      </c>
      <c r="W18" s="10" t="str">
        <f aca="false">IF(P18="","",TEXT(P18,"mm/yyyy"))</f>
        <v/>
      </c>
      <c r="X18" s="10" t="str">
        <f aca="false">IF(A18="","",IF(OR(R18="Fechado (Total)",R18="Fechado (Parcial)"),"Fechado|"&amp;SUMPRODUCT((($R$2:R18="Fechado (Total)")+($R$2:R18="Fechado (Parcial)"))*($A$2:A18&lt;&gt;"")),""))</f>
        <v/>
      </c>
      <c r="Y18" s="10" t="n">
        <f aca="false">IF(A18="","",IF(D18="Indicação",SUMPRODUCT(($D$2:D18="Indicação")*($A$2:A18&lt;&gt;"")),""))</f>
        <v>15</v>
      </c>
      <c r="Z18" s="10" t="str">
        <f aca="false">IF(Y18="","","Indicacao|"&amp;Y18)</f>
        <v>Indicacao|15</v>
      </c>
      <c r="AA18" s="10" t="str">
        <f aca="false">IF(I18="","",TEXT(I18,"mm/yyyy"))</f>
        <v>07/2026</v>
      </c>
    </row>
    <row r="19" customFormat="false" ht="15" hidden="false" customHeight="true" outlineLevel="0" collapsed="false">
      <c r="A19" s="4" t="s">
        <v>94</v>
      </c>
      <c r="B19" s="4" t="s">
        <v>95</v>
      </c>
      <c r="C19" s="4"/>
      <c r="D19" s="4" t="s">
        <v>29</v>
      </c>
      <c r="E19" s="4" t="s">
        <v>42</v>
      </c>
      <c r="F19" s="4" t="s">
        <v>39</v>
      </c>
      <c r="G19" s="12" t="n">
        <v>46162</v>
      </c>
      <c r="H19" s="6" t="s">
        <v>32</v>
      </c>
      <c r="I19" s="11" t="n">
        <v>46199</v>
      </c>
      <c r="J19" s="6" t="s">
        <v>32</v>
      </c>
      <c r="K19" s="6" t="s">
        <v>32</v>
      </c>
      <c r="L19" s="6" t="s">
        <v>32</v>
      </c>
      <c r="M19" s="7" t="n">
        <v>13000</v>
      </c>
      <c r="N19" s="6" t="s">
        <v>62</v>
      </c>
      <c r="O19" s="7"/>
      <c r="P19" s="8"/>
      <c r="Q19" s="4"/>
      <c r="R19" s="9" t="str">
        <f aca="false">IF(N19="Sim","Fechado (Total)",IF(N19="Parcial","Fechado (Parcial)",IF(N19="Não","Perdido",IF(N19="Pendente","Pendente",IF(N19="Não precisa no momento","Não Precisa no Momento",IF(L19="Sim","Plano de Tratamento",IF(J19="Não","Não Compareceu",IF(J19="Sim","Compareceu",IF(H19="Não","Perdido",IF(H19="Sim","Consulta Marcada",IF(A19="","","Novo Paciente")))))))))))</f>
        <v>Pendente</v>
      </c>
      <c r="S19" s="4" t="s">
        <v>96</v>
      </c>
      <c r="T19" s="10" t="n">
        <f aca="false">IF(A19="","",SUMPRODUCT(($R$2:R19=R19)*($A$2:A19&lt;&gt;"")))</f>
        <v>3</v>
      </c>
      <c r="U19" s="10" t="str">
        <f aca="false">IF(A19="","",R19&amp;"|"&amp;T19)</f>
        <v>Pendente|3</v>
      </c>
      <c r="V19" s="10" t="str">
        <f aca="false">IF(G19="","",TEXT(G19,"mm/yyyy"))</f>
        <v>05/2026</v>
      </c>
      <c r="W19" s="10" t="str">
        <f aca="false">IF(P19="","",TEXT(P19,"mm/yyyy"))</f>
        <v/>
      </c>
      <c r="X19" s="10" t="str">
        <f aca="false">IF(A19="","",IF(OR(R19="Fechado (Total)",R19="Fechado (Parcial)"),"Fechado|"&amp;SUMPRODUCT((($R$2:R19="Fechado (Total)")+($R$2:R19="Fechado (Parcial)"))*($A$2:A19&lt;&gt;"")),""))</f>
        <v/>
      </c>
      <c r="Y19" s="10" t="n">
        <f aca="false">IF(A19="","",IF(D19="Indicação",SUMPRODUCT(($D$2:D19="Indicação")*($A$2:A19&lt;&gt;"")),""))</f>
        <v>16</v>
      </c>
      <c r="Z19" s="10" t="str">
        <f aca="false">IF(Y19="","","Indicacao|"&amp;Y19)</f>
        <v>Indicacao|16</v>
      </c>
      <c r="AA19" s="10" t="str">
        <f aca="false">IF(I19="","",TEXT(I19,"mm/yyyy"))</f>
        <v>06/2026</v>
      </c>
    </row>
    <row r="20" customFormat="false" ht="15" hidden="false" customHeight="true" outlineLevel="0" collapsed="false">
      <c r="A20" s="4" t="s">
        <v>97</v>
      </c>
      <c r="B20" s="4" t="s">
        <v>98</v>
      </c>
      <c r="C20" s="4" t="s">
        <v>99</v>
      </c>
      <c r="D20" s="4" t="s">
        <v>29</v>
      </c>
      <c r="E20" s="4" t="s">
        <v>80</v>
      </c>
      <c r="F20" s="4" t="s">
        <v>31</v>
      </c>
      <c r="G20" s="15" t="n">
        <v>46254</v>
      </c>
      <c r="H20" s="6" t="s">
        <v>32</v>
      </c>
      <c r="I20" s="5" t="n">
        <v>46225</v>
      </c>
      <c r="J20" s="6" t="s">
        <v>32</v>
      </c>
      <c r="K20" s="6" t="s">
        <v>32</v>
      </c>
      <c r="L20" s="6" t="s">
        <v>32</v>
      </c>
      <c r="M20" s="7" t="n">
        <v>0</v>
      </c>
      <c r="N20" s="6" t="s">
        <v>32</v>
      </c>
      <c r="O20" s="7" t="n">
        <v>0</v>
      </c>
      <c r="P20" s="8" t="n">
        <v>46231</v>
      </c>
      <c r="Q20" s="4"/>
      <c r="R20" s="9" t="str">
        <f aca="false">IF(N20="Sim","Fechado (Total)",IF(N20="Parcial","Fechado (Parcial)",IF(N20="Não","Perdido",IF(N20="Pendente","Pendente",IF(N20="Não precisa no momento","Não Precisa no Momento",IF(L20="Sim","Plano de Tratamento",IF(J20="Não","Não Compareceu",IF(J20="Sim","Compareceu",IF(H20="Não","Perdido",IF(H20="Sim","Consulta Marcada",IF(A20="","","Novo Paciente")))))))))))</f>
        <v>Fechado (Total)</v>
      </c>
      <c r="S20" s="4" t="s">
        <v>100</v>
      </c>
      <c r="T20" s="10" t="n">
        <f aca="false">IF(A20="","",SUMPRODUCT(($R$2:R20=R20)*($A$2:A20&lt;&gt;"")))</f>
        <v>8</v>
      </c>
      <c r="U20" s="10" t="str">
        <f aca="false">IF(A20="","",R20&amp;"|"&amp;T20)</f>
        <v>Fechado (Total)|8</v>
      </c>
      <c r="V20" s="10" t="str">
        <f aca="false">IF(G20="","",TEXT(G20,"mm/yyyy"))</f>
        <v>08/2026</v>
      </c>
      <c r="W20" s="10" t="str">
        <f aca="false">IF(P20="","",TEXT(P20,"mm/yyyy"))</f>
        <v>07/2026</v>
      </c>
      <c r="X20" s="10" t="str">
        <f aca="false">IF(A20="","",IF(OR(R20="Fechado (Total)",R20="Fechado (Parcial)"),"Fechado|"&amp;SUMPRODUCT((($R$2:R20="Fechado (Total)")+($R$2:R20="Fechado (Parcial)"))*($A$2:A20&lt;&gt;"")),""))</f>
        <v>Fechado|8</v>
      </c>
      <c r="Y20" s="10" t="n">
        <f aca="false">IF(A20="","",IF(D20="Indicação",SUMPRODUCT(($D$2:D20="Indicação")*($A$2:A20&lt;&gt;"")),""))</f>
        <v>17</v>
      </c>
      <c r="Z20" s="10" t="str">
        <f aca="false">IF(Y20="","","Indicacao|"&amp;Y20)</f>
        <v>Indicacao|17</v>
      </c>
      <c r="AA20" s="10" t="str">
        <f aca="false">IF(I20="","",TEXT(I20,"mm/yyyy"))</f>
        <v>07/2026</v>
      </c>
    </row>
    <row r="21" customFormat="false" ht="15" hidden="false" customHeight="true" outlineLevel="0" collapsed="false">
      <c r="A21" s="4" t="s">
        <v>101</v>
      </c>
      <c r="B21" s="4" t="s">
        <v>102</v>
      </c>
      <c r="C21" s="4" t="s">
        <v>103</v>
      </c>
      <c r="D21" s="4" t="s">
        <v>29</v>
      </c>
      <c r="E21" s="4" t="s">
        <v>42</v>
      </c>
      <c r="F21" s="4" t="s">
        <v>31</v>
      </c>
      <c r="G21" s="5" t="n">
        <v>46226</v>
      </c>
      <c r="H21" s="6" t="s">
        <v>32</v>
      </c>
      <c r="I21" s="5" t="n">
        <v>46231</v>
      </c>
      <c r="J21" s="6" t="s">
        <v>32</v>
      </c>
      <c r="K21" s="6" t="s">
        <v>32</v>
      </c>
      <c r="L21" s="6" t="s">
        <v>32</v>
      </c>
      <c r="M21" s="7" t="n">
        <v>6000</v>
      </c>
      <c r="N21" s="6" t="s">
        <v>32</v>
      </c>
      <c r="O21" s="7" t="n">
        <v>5383</v>
      </c>
      <c r="P21" s="8" t="n">
        <v>46231</v>
      </c>
      <c r="Q21" s="4"/>
      <c r="R21" s="9" t="str">
        <f aca="false">IF(N21="Sim","Fechado (Total)",IF(N21="Parcial","Fechado (Parcial)",IF(N21="Não","Perdido",IF(N21="Pendente","Pendente",IF(N21="Não precisa no momento","Não Precisa no Momento",IF(L21="Sim","Plano de Tratamento",IF(J21="Não","Não Compareceu",IF(J21="Sim","Compareceu",IF(H21="Não","Perdido",IF(H21="Sim","Consulta Marcada",IF(A21="","","Novo Paciente")))))))))))</f>
        <v>Fechado (Total)</v>
      </c>
      <c r="S21" s="4"/>
      <c r="T21" s="10" t="n">
        <f aca="false">IF(A21="","",SUMPRODUCT(($R$2:R21=R21)*($A$2:A21&lt;&gt;"")))</f>
        <v>9</v>
      </c>
      <c r="U21" s="10" t="str">
        <f aca="false">IF(A21="","",R21&amp;"|"&amp;T21)</f>
        <v>Fechado (Total)|9</v>
      </c>
      <c r="V21" s="10" t="str">
        <f aca="false">IF(G21="","",TEXT(G21,"mm/yyyy"))</f>
        <v>07/2026</v>
      </c>
      <c r="W21" s="10" t="str">
        <f aca="false">IF(P21="","",TEXT(P21,"mm/yyyy"))</f>
        <v>07/2026</v>
      </c>
      <c r="X21" s="10" t="str">
        <f aca="false">IF(A21="","",IF(OR(R21="Fechado (Total)",R21="Fechado (Parcial)"),"Fechado|"&amp;SUMPRODUCT((($R$2:R21="Fechado (Total)")+($R$2:R21="Fechado (Parcial)"))*($A$2:A21&lt;&gt;"")),""))</f>
        <v>Fechado|9</v>
      </c>
      <c r="Y21" s="10" t="n">
        <f aca="false">IF(A21="","",IF(D21="Indicação",SUMPRODUCT(($D$2:D21="Indicação")*($A$2:A21&lt;&gt;"")),""))</f>
        <v>18</v>
      </c>
      <c r="Z21" s="10" t="str">
        <f aca="false">IF(Y21="","","Indicacao|"&amp;Y21)</f>
        <v>Indicacao|18</v>
      </c>
      <c r="AA21" s="10" t="str">
        <f aca="false">IF(I21="","",TEXT(I21,"mm/yyyy"))</f>
        <v>07/2026</v>
      </c>
    </row>
    <row r="22" customFormat="false" ht="15" hidden="false" customHeight="true" outlineLevel="0" collapsed="false">
      <c r="A22" s="4" t="s">
        <v>104</v>
      </c>
      <c r="B22" s="4" t="s">
        <v>105</v>
      </c>
      <c r="C22" s="4"/>
      <c r="D22" s="4" t="s">
        <v>29</v>
      </c>
      <c r="E22" s="4" t="s">
        <v>42</v>
      </c>
      <c r="F22" s="4" t="s">
        <v>31</v>
      </c>
      <c r="G22" s="5" t="n">
        <v>46233</v>
      </c>
      <c r="H22" s="6" t="s">
        <v>32</v>
      </c>
      <c r="I22" s="5" t="n">
        <v>46234</v>
      </c>
      <c r="J22" s="6" t="s">
        <v>32</v>
      </c>
      <c r="K22" s="6" t="s">
        <v>32</v>
      </c>
      <c r="L22" s="6" t="s">
        <v>32</v>
      </c>
      <c r="M22" s="7" t="n">
        <v>15800</v>
      </c>
      <c r="N22" s="6" t="s">
        <v>32</v>
      </c>
      <c r="O22" s="7" t="n">
        <v>15800</v>
      </c>
      <c r="P22" s="8" t="n">
        <v>46245</v>
      </c>
      <c r="Q22" s="4"/>
      <c r="R22" s="9" t="str">
        <f aca="false">IF(N22="Sim","Fechado (Total)",IF(N22="Parcial","Fechado (Parcial)",IF(N22="Não","Perdido",IF(N22="Pendente","Pendente",IF(N22="Não precisa no momento","Não Precisa no Momento",IF(L22="Sim","Plano de Tratamento",IF(J22="Não","Não Compareceu",IF(J22="Sim","Compareceu",IF(H22="Não","Perdido",IF(H22="Sim","Consulta Marcada",IF(A22="","","Novo Paciente")))))))))))</f>
        <v>Fechado (Total)</v>
      </c>
      <c r="S22" s="4"/>
      <c r="T22" s="10" t="n">
        <f aca="false">IF(A22="","",SUMPRODUCT(($R$2:R22=R22)*($A$2:A22&lt;&gt;"")))</f>
        <v>10</v>
      </c>
      <c r="U22" s="10" t="str">
        <f aca="false">IF(A22="","",R22&amp;"|"&amp;T22)</f>
        <v>Fechado (Total)|10</v>
      </c>
      <c r="V22" s="10" t="str">
        <f aca="false">IF(G22="","",TEXT(G22,"mm/yyyy"))</f>
        <v>07/2026</v>
      </c>
      <c r="W22" s="10" t="str">
        <f aca="false">IF(P22="","",TEXT(P22,"mm/yyyy"))</f>
        <v>08/2026</v>
      </c>
      <c r="X22" s="10" t="str">
        <f aca="false">IF(A22="","",IF(OR(R22="Fechado (Total)",R22="Fechado (Parcial)"),"Fechado|"&amp;SUMPRODUCT((($R$2:R22="Fechado (Total)")+($R$2:R22="Fechado (Parcial)"))*($A$2:A22&lt;&gt;"")),""))</f>
        <v>Fechado|10</v>
      </c>
      <c r="Y22" s="10" t="n">
        <f aca="false">IF(A22="","",IF(D22="Indicação",SUMPRODUCT(($D$2:D22="Indicação")*($A$2:A22&lt;&gt;"")),""))</f>
        <v>19</v>
      </c>
      <c r="Z22" s="10" t="str">
        <f aca="false">IF(Y22="","","Indicacao|"&amp;Y22)</f>
        <v>Indicacao|19</v>
      </c>
      <c r="AA22" s="10" t="str">
        <f aca="false">IF(I22="","",TEXT(I22,"mm/yyyy"))</f>
        <v>07/2026</v>
      </c>
    </row>
    <row r="23" customFormat="false" ht="15" hidden="false" customHeight="true" outlineLevel="0" collapsed="false">
      <c r="A23" s="16" t="s">
        <v>106</v>
      </c>
      <c r="B23" s="4" t="s">
        <v>107</v>
      </c>
      <c r="C23" s="4" t="s">
        <v>108</v>
      </c>
      <c r="D23" s="4" t="s">
        <v>47</v>
      </c>
      <c r="E23" s="4" t="s">
        <v>42</v>
      </c>
      <c r="F23" s="4" t="s">
        <v>39</v>
      </c>
      <c r="G23" s="5" t="n">
        <v>46227</v>
      </c>
      <c r="H23" s="6" t="s">
        <v>32</v>
      </c>
      <c r="I23" s="15" t="n">
        <v>46238</v>
      </c>
      <c r="J23" s="6" t="s">
        <v>32</v>
      </c>
      <c r="K23" s="6" t="s">
        <v>32</v>
      </c>
      <c r="L23" s="6" t="s">
        <v>32</v>
      </c>
      <c r="M23" s="7" t="n">
        <v>16000</v>
      </c>
      <c r="N23" s="6" t="s">
        <v>62</v>
      </c>
      <c r="O23" s="7"/>
      <c r="P23" s="8"/>
      <c r="Q23" s="4"/>
      <c r="R23" s="9" t="str">
        <f aca="false">IF(N23="Sim","Fechado (Total)",IF(N23="Parcial","Fechado (Parcial)",IF(N23="Não","Perdido",IF(N23="Pendente","Pendente",IF(N23="Não precisa no momento","Não Precisa no Momento",IF(L23="Sim","Plano de Tratamento",IF(J23="Não","Não Compareceu",IF(J23="Sim","Compareceu",IF(H23="Não","Perdido",IF(H23="Sim","Consulta Marcada",IF(A23="","","Novo Paciente")))))))))))</f>
        <v>Pendente</v>
      </c>
      <c r="S23" s="4"/>
      <c r="T23" s="10" t="n">
        <f aca="false">IF(A23="","",SUMPRODUCT(($R$2:R23=R23)*($A$2:A23&lt;&gt;"")))</f>
        <v>4</v>
      </c>
      <c r="U23" s="10" t="str">
        <f aca="false">IF(A23="","",R23&amp;"|"&amp;T23)</f>
        <v>Pendente|4</v>
      </c>
      <c r="V23" s="10" t="str">
        <f aca="false">IF(G23="","",TEXT(G23,"mm/yyyy"))</f>
        <v>07/2026</v>
      </c>
      <c r="W23" s="10" t="str">
        <f aca="false">IF(P23="","",TEXT(P23,"mm/yyyy"))</f>
        <v/>
      </c>
      <c r="X23" s="10" t="str">
        <f aca="false">IF(A23="","",IF(OR(R23="Fechado (Total)",R23="Fechado (Parcial)"),"Fechado|"&amp;SUMPRODUCT((($R$2:R23="Fechado (Total)")+($R$2:R23="Fechado (Parcial)"))*($A$2:A23&lt;&gt;"")),""))</f>
        <v/>
      </c>
      <c r="Y23" s="10" t="str">
        <f aca="false">IF(A23="","",IF(D23="Indicação",SUMPRODUCT(($D$2:D23="Indicação")*($A$2:A23&lt;&gt;"")),""))</f>
        <v/>
      </c>
      <c r="Z23" s="10" t="str">
        <f aca="false">IF(Y23="","","Indicacao|"&amp;Y23)</f>
        <v/>
      </c>
      <c r="AA23" s="10" t="str">
        <f aca="false">IF(I23="","",TEXT(I23,"mm/yyyy"))</f>
        <v>08/2026</v>
      </c>
    </row>
    <row r="24" customFormat="false" ht="15" hidden="false" customHeight="true" outlineLevel="0" collapsed="false">
      <c r="A24" s="4" t="s">
        <v>109</v>
      </c>
      <c r="B24" s="4" t="s">
        <v>110</v>
      </c>
      <c r="C24" s="4" t="s">
        <v>111</v>
      </c>
      <c r="D24" s="4" t="s">
        <v>47</v>
      </c>
      <c r="E24" s="4" t="s">
        <v>42</v>
      </c>
      <c r="F24" s="4" t="s">
        <v>31</v>
      </c>
      <c r="G24" s="15" t="n">
        <v>46264</v>
      </c>
      <c r="H24" s="6" t="s">
        <v>32</v>
      </c>
      <c r="I24" s="15" t="n">
        <v>46265</v>
      </c>
      <c r="J24" s="6" t="s">
        <v>32</v>
      </c>
      <c r="K24" s="6" t="s">
        <v>33</v>
      </c>
      <c r="L24" s="6" t="s">
        <v>32</v>
      </c>
      <c r="M24" s="7" t="n">
        <v>13500</v>
      </c>
      <c r="N24" s="6" t="s">
        <v>32</v>
      </c>
      <c r="O24" s="7" t="n">
        <v>11743.35</v>
      </c>
      <c r="P24" s="8" t="n">
        <v>46265</v>
      </c>
      <c r="Q24" s="4"/>
      <c r="R24" s="9" t="str">
        <f aca="false">IF(N24="Sim","Fechado (Total)",IF(N24="Parcial","Fechado (Parcial)",IF(N24="Não","Perdido",IF(N24="Pendente","Pendente",IF(N24="Não precisa no momento","Não Precisa no Momento",IF(L24="Sim","Plano de Tratamento",IF(J24="Não","Não Compareceu",IF(J24="Sim","Compareceu",IF(H24="Não","Perdido",IF(H24="Sim","Consulta Marcada",IF(A24="","","Novo Paciente")))))))))))</f>
        <v>Fechado (Total)</v>
      </c>
      <c r="S24" s="4"/>
      <c r="T24" s="10" t="n">
        <f aca="false">IF(A24="","",SUMPRODUCT(($R$2:R24=R24)*($A$2:A24&lt;&gt;"")))</f>
        <v>11</v>
      </c>
      <c r="U24" s="10" t="str">
        <f aca="false">IF(A24="","",R24&amp;"|"&amp;T24)</f>
        <v>Fechado (Total)|11</v>
      </c>
      <c r="V24" s="10" t="str">
        <f aca="false">IF(G24="","",TEXT(G24,"mm/yyyy"))</f>
        <v>08/2026</v>
      </c>
      <c r="W24" s="10" t="str">
        <f aca="false">IF(P24="","",TEXT(P24,"mm/yyyy"))</f>
        <v>08/2026</v>
      </c>
      <c r="X24" s="10" t="str">
        <f aca="false">IF(A24="","",IF(OR(R24="Fechado (Total)",R24="Fechado (Parcial)"),"Fechado|"&amp;SUMPRODUCT((($R$2:R24="Fechado (Total)")+($R$2:R24="Fechado (Parcial)"))*($A$2:A24&lt;&gt;"")),""))</f>
        <v>Fechado|11</v>
      </c>
      <c r="Y24" s="10" t="str">
        <f aca="false">IF(A24="","",IF(D24="Indicação",SUMPRODUCT(($D$2:D24="Indicação")*($A$2:A24&lt;&gt;"")),""))</f>
        <v/>
      </c>
      <c r="Z24" s="10" t="str">
        <f aca="false">IF(Y24="","","Indicacao|"&amp;Y24)</f>
        <v/>
      </c>
      <c r="AA24" s="10" t="str">
        <f aca="false">IF(I24="","",TEXT(I24,"mm/yyyy"))</f>
        <v>08/2026</v>
      </c>
    </row>
    <row r="25" customFormat="false" ht="15" hidden="false" customHeight="true" outlineLevel="0" collapsed="false">
      <c r="A25" s="14" t="s">
        <v>112</v>
      </c>
      <c r="B25" s="4" t="s">
        <v>113</v>
      </c>
      <c r="C25" s="4" t="s">
        <v>114</v>
      </c>
      <c r="D25" s="4" t="s">
        <v>47</v>
      </c>
      <c r="E25" s="4" t="s">
        <v>80</v>
      </c>
      <c r="F25" s="4" t="s">
        <v>31</v>
      </c>
      <c r="G25" s="15" t="n">
        <v>45511</v>
      </c>
      <c r="H25" s="6"/>
      <c r="I25" s="8"/>
      <c r="J25" s="6"/>
      <c r="K25" s="6"/>
      <c r="L25" s="6"/>
      <c r="M25" s="7"/>
      <c r="N25" s="6"/>
      <c r="O25" s="7"/>
      <c r="P25" s="8"/>
      <c r="Q25" s="4"/>
      <c r="R25" s="9" t="str">
        <f aca="false">IF(N25="Sim","Fechado (Total)",IF(N25="Parcial","Fechado (Parcial)",IF(N25="Não","Perdido",IF(N25="Pendente","Pendente",IF(N25="Não precisa no momento","Não Precisa no Momento",IF(L25="Sim","Plano de Tratamento",IF(J25="Não","Não Compareceu",IF(J25="Sim","Compareceu",IF(H25="Não","Perdido",IF(H25="Sim","Consulta Marcada",IF(A25="","","Novo Paciente")))))))))))</f>
        <v>Novo Paciente</v>
      </c>
      <c r="S25" s="4"/>
      <c r="T25" s="10" t="n">
        <f aca="false">IF(A25="","",SUMPRODUCT(($R$2:R25=R25)*($A$2:A25&lt;&gt;"")))</f>
        <v>1</v>
      </c>
      <c r="U25" s="10" t="str">
        <f aca="false">IF(A25="","",R25&amp;"|"&amp;T25)</f>
        <v>Novo Paciente|1</v>
      </c>
      <c r="V25" s="10" t="str">
        <f aca="false">IF(G25="","",TEXT(G25,"mm/yyyy"))</f>
        <v>08/2024</v>
      </c>
      <c r="W25" s="10" t="str">
        <f aca="false">IF(P25="","",TEXT(P25,"mm/yyyy"))</f>
        <v/>
      </c>
      <c r="X25" s="10" t="str">
        <f aca="false">IF(A25="","",IF(OR(R25="Fechado (Total)",R25="Fechado (Parcial)"),"Fechado|"&amp;SUMPRODUCT((($R$2:R25="Fechado (Total)")+($R$2:R25="Fechado (Parcial)"))*($A$2:A25&lt;&gt;"")),""))</f>
        <v/>
      </c>
      <c r="Y25" s="10" t="str">
        <f aca="false">IF(A25="","",IF(D25="Indicação",SUMPRODUCT(($D$2:D25="Indicação")*($A$2:A25&lt;&gt;"")),""))</f>
        <v/>
      </c>
      <c r="Z25" s="10" t="str">
        <f aca="false">IF(Y25="","","Indicacao|"&amp;Y25)</f>
        <v/>
      </c>
      <c r="AA25" s="10" t="str">
        <f aca="false">IF(I25="","",TEXT(I25,"mm/yyyy"))</f>
        <v/>
      </c>
    </row>
    <row r="26" customFormat="false" ht="15" hidden="false" customHeight="true" outlineLevel="0" collapsed="false">
      <c r="A26" s="14" t="s">
        <v>115</v>
      </c>
      <c r="B26" s="4" t="s">
        <v>116</v>
      </c>
      <c r="C26" s="4"/>
      <c r="D26" s="4" t="s">
        <v>29</v>
      </c>
      <c r="E26" s="4" t="s">
        <v>42</v>
      </c>
      <c r="F26" s="4" t="s">
        <v>31</v>
      </c>
      <c r="G26" s="12" t="n">
        <v>46153</v>
      </c>
      <c r="H26" s="6" t="s">
        <v>32</v>
      </c>
      <c r="I26" s="5" t="n">
        <v>46227</v>
      </c>
      <c r="J26" s="6" t="s">
        <v>32</v>
      </c>
      <c r="K26" s="6" t="s">
        <v>32</v>
      </c>
      <c r="L26" s="6" t="s">
        <v>32</v>
      </c>
      <c r="M26" s="7" t="n">
        <v>12000</v>
      </c>
      <c r="N26" s="6" t="s">
        <v>32</v>
      </c>
      <c r="O26" s="7" t="n">
        <v>10000</v>
      </c>
      <c r="P26" s="8" t="n">
        <v>46240</v>
      </c>
      <c r="Q26" s="4"/>
      <c r="R26" s="9" t="str">
        <f aca="false">IF(N26="Sim","Fechado (Total)",IF(N26="Parcial","Fechado (Parcial)",IF(N26="Não","Perdido",IF(N26="Pendente","Pendente",IF(N26="Não precisa no momento","Não Precisa no Momento",IF(L26="Sim","Plano de Tratamento",IF(J26="Não","Não Compareceu",IF(J26="Sim","Compareceu",IF(H26="Não","Perdido",IF(H26="Sim","Consulta Marcada",IF(A26="","","Novo Paciente")))))))))))</f>
        <v>Fechado (Total)</v>
      </c>
      <c r="S26" s="4" t="s">
        <v>117</v>
      </c>
      <c r="T26" s="10" t="n">
        <f aca="false">IF(A26="","",SUMPRODUCT(($R$2:R26=R26)*($A$2:A26&lt;&gt;"")))</f>
        <v>12</v>
      </c>
      <c r="U26" s="10" t="str">
        <f aca="false">IF(A26="","",R26&amp;"|"&amp;T26)</f>
        <v>Fechado (Total)|12</v>
      </c>
      <c r="V26" s="10" t="str">
        <f aca="false">IF(G26="","",TEXT(G26,"mm/yyyy"))</f>
        <v>05/2026</v>
      </c>
      <c r="W26" s="10" t="str">
        <f aca="false">IF(P26="","",TEXT(P26,"mm/yyyy"))</f>
        <v>08/2026</v>
      </c>
      <c r="X26" s="10" t="str">
        <f aca="false">IF(A26="","",IF(OR(R26="Fechado (Total)",R26="Fechado (Parcial)"),"Fechado|"&amp;SUMPRODUCT((($R$2:R26="Fechado (Total)")+($R$2:R26="Fechado (Parcial)"))*($A$2:A26&lt;&gt;"")),""))</f>
        <v>Fechado|12</v>
      </c>
      <c r="Y26" s="10" t="n">
        <f aca="false">IF(A26="","",IF(D26="Indicação",SUMPRODUCT(($D$2:D26="Indicação")*($A$2:A26&lt;&gt;"")),""))</f>
        <v>20</v>
      </c>
      <c r="Z26" s="10" t="str">
        <f aca="false">IF(Y26="","","Indicacao|"&amp;Y26)</f>
        <v>Indicacao|20</v>
      </c>
      <c r="AA26" s="10" t="str">
        <f aca="false">IF(I26="","",TEXT(I26,"mm/yyyy"))</f>
        <v>07/2026</v>
      </c>
    </row>
    <row r="27" customFormat="false" ht="15" hidden="false" customHeight="true" outlineLevel="0" collapsed="false">
      <c r="A27" s="16" t="s">
        <v>118</v>
      </c>
      <c r="B27" s="4" t="s">
        <v>119</v>
      </c>
      <c r="C27" s="4" t="s">
        <v>120</v>
      </c>
      <c r="D27" s="4" t="s">
        <v>29</v>
      </c>
      <c r="E27" s="4" t="s">
        <v>121</v>
      </c>
      <c r="F27" s="4" t="s">
        <v>39</v>
      </c>
      <c r="G27" s="15" t="n">
        <v>46238</v>
      </c>
      <c r="H27" s="6" t="s">
        <v>32</v>
      </c>
      <c r="I27" s="15" t="n">
        <v>46239</v>
      </c>
      <c r="J27" s="6" t="s">
        <v>32</v>
      </c>
      <c r="K27" s="6" t="s">
        <v>32</v>
      </c>
      <c r="L27" s="6" t="s">
        <v>32</v>
      </c>
      <c r="M27" s="7" t="n">
        <v>14000</v>
      </c>
      <c r="N27" s="6" t="s">
        <v>62</v>
      </c>
      <c r="O27" s="7"/>
      <c r="P27" s="8"/>
      <c r="Q27" s="4"/>
      <c r="R27" s="9" t="str">
        <f aca="false">IF(N27="Sim","Fechado (Total)",IF(N27="Parcial","Fechado (Parcial)",IF(N27="Não","Perdido",IF(N27="Pendente","Pendente",IF(N27="Não precisa no momento","Não Precisa no Momento",IF(L27="Sim","Plano de Tratamento",IF(J27="Não","Não Compareceu",IF(J27="Sim","Compareceu",IF(H27="Não","Perdido",IF(H27="Sim","Consulta Marcada",IF(A27="","","Novo Paciente")))))))))))</f>
        <v>Pendente</v>
      </c>
      <c r="S27" s="4"/>
      <c r="T27" s="10" t="n">
        <f aca="false">IF(A27="","",SUMPRODUCT(($R$2:R27=R27)*($A$2:A27&lt;&gt;"")))</f>
        <v>5</v>
      </c>
      <c r="U27" s="10" t="str">
        <f aca="false">IF(A27="","",R27&amp;"|"&amp;T27)</f>
        <v>Pendente|5</v>
      </c>
      <c r="V27" s="10" t="str">
        <f aca="false">IF(G27="","",TEXT(G27,"mm/yyyy"))</f>
        <v>08/2026</v>
      </c>
      <c r="W27" s="10" t="str">
        <f aca="false">IF(P27="","",TEXT(P27,"mm/yyyy"))</f>
        <v/>
      </c>
      <c r="X27" s="10" t="str">
        <f aca="false">IF(A27="","",IF(OR(R27="Fechado (Total)",R27="Fechado (Parcial)"),"Fechado|"&amp;SUMPRODUCT((($R$2:R27="Fechado (Total)")+($R$2:R27="Fechado (Parcial)"))*($A$2:A27&lt;&gt;"")),""))</f>
        <v/>
      </c>
      <c r="Y27" s="10" t="n">
        <f aca="false">IF(A27="","",IF(D27="Indicação",SUMPRODUCT(($D$2:D27="Indicação")*($A$2:A27&lt;&gt;"")),""))</f>
        <v>21</v>
      </c>
      <c r="Z27" s="10" t="str">
        <f aca="false">IF(Y27="","","Indicacao|"&amp;Y27)</f>
        <v>Indicacao|21</v>
      </c>
      <c r="AA27" s="10" t="str">
        <f aca="false">IF(I27="","",TEXT(I27,"mm/yyyy"))</f>
        <v>08/2026</v>
      </c>
    </row>
    <row r="28" customFormat="false" ht="15" hidden="false" customHeight="true" outlineLevel="0" collapsed="false">
      <c r="A28" s="4" t="s">
        <v>122</v>
      </c>
      <c r="B28" s="4" t="s">
        <v>123</v>
      </c>
      <c r="C28" s="4" t="s">
        <v>124</v>
      </c>
      <c r="D28" s="4" t="s">
        <v>29</v>
      </c>
      <c r="E28" s="4" t="s">
        <v>42</v>
      </c>
      <c r="F28" s="4" t="s">
        <v>39</v>
      </c>
      <c r="G28" s="15" t="n">
        <v>46238</v>
      </c>
      <c r="H28" s="6" t="s">
        <v>32</v>
      </c>
      <c r="I28" s="15" t="n">
        <v>46239</v>
      </c>
      <c r="J28" s="6" t="s">
        <v>32</v>
      </c>
      <c r="K28" s="6" t="s">
        <v>32</v>
      </c>
      <c r="L28" s="6" t="s">
        <v>32</v>
      </c>
      <c r="M28" s="7" t="n">
        <v>16200</v>
      </c>
      <c r="N28" s="6" t="s">
        <v>32</v>
      </c>
      <c r="O28" s="7" t="n">
        <v>16200</v>
      </c>
      <c r="P28" s="8" t="n">
        <v>46245</v>
      </c>
      <c r="Q28" s="4"/>
      <c r="R28" s="9" t="str">
        <f aca="false">IF(N28="Sim","Fechado (Total)",IF(N28="Parcial","Fechado (Parcial)",IF(N28="Não","Perdido",IF(N28="Pendente","Pendente",IF(N28="Não precisa no momento","Não Precisa no Momento",IF(L28="Sim","Plano de Tratamento",IF(J28="Não","Não Compareceu",IF(J28="Sim","Compareceu",IF(H28="Não","Perdido",IF(H28="Sim","Consulta Marcada",IF(A28="","","Novo Paciente")))))))))))</f>
        <v>Fechado (Total)</v>
      </c>
      <c r="S28" s="4"/>
      <c r="T28" s="10" t="n">
        <f aca="false">IF(A28="","",SUMPRODUCT(($R$2:R28=R28)*($A$2:A28&lt;&gt;"")))</f>
        <v>13</v>
      </c>
      <c r="U28" s="10" t="str">
        <f aca="false">IF(A28="","",R28&amp;"|"&amp;T28)</f>
        <v>Fechado (Total)|13</v>
      </c>
      <c r="V28" s="10" t="str">
        <f aca="false">IF(G28="","",TEXT(G28,"mm/yyyy"))</f>
        <v>08/2026</v>
      </c>
      <c r="W28" s="10" t="str">
        <f aca="false">IF(P28="","",TEXT(P28,"mm/yyyy"))</f>
        <v>08/2026</v>
      </c>
      <c r="X28" s="10" t="str">
        <f aca="false">IF(A28="","",IF(OR(R28="Fechado (Total)",R28="Fechado (Parcial)"),"Fechado|"&amp;SUMPRODUCT((($R$2:R28="Fechado (Total)")+($R$2:R28="Fechado (Parcial)"))*($A$2:A28&lt;&gt;"")),""))</f>
        <v>Fechado|13</v>
      </c>
      <c r="Y28" s="10" t="n">
        <f aca="false">IF(A28="","",IF(D28="Indicação",SUMPRODUCT(($D$2:D28="Indicação")*($A$2:A28&lt;&gt;"")),""))</f>
        <v>22</v>
      </c>
      <c r="Z28" s="10" t="str">
        <f aca="false">IF(Y28="","","Indicacao|"&amp;Y28)</f>
        <v>Indicacao|22</v>
      </c>
      <c r="AA28" s="10" t="str">
        <f aca="false">IF(I28="","",TEXT(I28,"mm/yyyy"))</f>
        <v>08/2026</v>
      </c>
    </row>
    <row r="29" customFormat="false" ht="15" hidden="false" customHeight="true" outlineLevel="0" collapsed="false">
      <c r="A29" s="16" t="s">
        <v>125</v>
      </c>
      <c r="B29" s="4" t="s">
        <v>126</v>
      </c>
      <c r="C29" s="4" t="s">
        <v>127</v>
      </c>
      <c r="D29" s="4" t="s">
        <v>29</v>
      </c>
      <c r="E29" s="4" t="s">
        <v>80</v>
      </c>
      <c r="F29" s="4" t="s">
        <v>39</v>
      </c>
      <c r="G29" s="15" t="n">
        <v>46239</v>
      </c>
      <c r="H29" s="6" t="s">
        <v>32</v>
      </c>
      <c r="I29" s="15" t="n">
        <v>46246</v>
      </c>
      <c r="J29" s="6" t="s">
        <v>32</v>
      </c>
      <c r="K29" s="6" t="s">
        <v>32</v>
      </c>
      <c r="L29" s="6" t="s">
        <v>32</v>
      </c>
      <c r="M29" s="7"/>
      <c r="N29" s="6" t="s">
        <v>62</v>
      </c>
      <c r="O29" s="7"/>
      <c r="P29" s="8"/>
      <c r="Q29" s="4"/>
      <c r="R29" s="9" t="str">
        <f aca="false">IF(N29="Sim","Fechado (Total)",IF(N29="Parcial","Fechado (Parcial)",IF(N29="Não","Perdido",IF(N29="Pendente","Pendente",IF(N29="Não precisa no momento","Não Precisa no Momento",IF(L29="Sim","Plano de Tratamento",IF(J29="Não","Não Compareceu",IF(J29="Sim","Compareceu",IF(H29="Não","Perdido",IF(H29="Sim","Consulta Marcada",IF(A29="","","Novo Paciente")))))))))))</f>
        <v>Pendente</v>
      </c>
      <c r="S29" s="4"/>
      <c r="T29" s="10" t="n">
        <f aca="false">IF(A29="","",SUMPRODUCT(($R$2:R29=R29)*($A$2:A29&lt;&gt;"")))</f>
        <v>6</v>
      </c>
      <c r="U29" s="10" t="str">
        <f aca="false">IF(A29="","",R29&amp;"|"&amp;T29)</f>
        <v>Pendente|6</v>
      </c>
      <c r="V29" s="10" t="str">
        <f aca="false">IF(G29="","",TEXT(G29,"mm/yyyy"))</f>
        <v>08/2026</v>
      </c>
      <c r="W29" s="10" t="str">
        <f aca="false">IF(P29="","",TEXT(P29,"mm/yyyy"))</f>
        <v/>
      </c>
      <c r="X29" s="10" t="str">
        <f aca="false">IF(A29="","",IF(OR(R29="Fechado (Total)",R29="Fechado (Parcial)"),"Fechado|"&amp;SUMPRODUCT((($R$2:R29="Fechado (Total)")+($R$2:R29="Fechado (Parcial)"))*($A$2:A29&lt;&gt;"")),""))</f>
        <v/>
      </c>
      <c r="Y29" s="10" t="n">
        <f aca="false">IF(A29="","",IF(D29="Indicação",SUMPRODUCT(($D$2:D29="Indicação")*($A$2:A29&lt;&gt;"")),""))</f>
        <v>23</v>
      </c>
      <c r="Z29" s="10" t="str">
        <f aca="false">IF(Y29="","","Indicacao|"&amp;Y29)</f>
        <v>Indicacao|23</v>
      </c>
      <c r="AA29" s="10" t="str">
        <f aca="false">IF(I29="","",TEXT(I29,"mm/yyyy"))</f>
        <v>08/2026</v>
      </c>
    </row>
    <row r="30" customFormat="false" ht="15" hidden="false" customHeight="true" outlineLevel="0" collapsed="false">
      <c r="A30" s="16" t="s">
        <v>128</v>
      </c>
      <c r="B30" s="4" t="s">
        <v>129</v>
      </c>
      <c r="C30" s="4"/>
      <c r="D30" s="4" t="s">
        <v>29</v>
      </c>
      <c r="E30" s="4" t="s">
        <v>42</v>
      </c>
      <c r="F30" s="4" t="s">
        <v>31</v>
      </c>
      <c r="G30" s="12" t="n">
        <v>46146</v>
      </c>
      <c r="H30" s="6" t="s">
        <v>32</v>
      </c>
      <c r="I30" s="15" t="n">
        <v>46247</v>
      </c>
      <c r="J30" s="6" t="s">
        <v>32</v>
      </c>
      <c r="K30" s="6" t="s">
        <v>33</v>
      </c>
      <c r="L30" s="6" t="s">
        <v>32</v>
      </c>
      <c r="M30" s="7" t="n">
        <v>10500</v>
      </c>
      <c r="N30" s="6" t="s">
        <v>62</v>
      </c>
      <c r="O30" s="7"/>
      <c r="P30" s="8"/>
      <c r="Q30" s="4"/>
      <c r="R30" s="9" t="str">
        <f aca="false">IF(N30="Sim","Fechado (Total)",IF(N30="Parcial","Fechado (Parcial)",IF(N30="Não","Perdido",IF(N30="Pendente","Pendente",IF(N30="Não precisa no momento","Não Precisa no Momento",IF(L30="Sim","Plano de Tratamento",IF(J30="Não","Não Compareceu",IF(J30="Sim","Compareceu",IF(H30="Não","Perdido",IF(H30="Sim","Consulta Marcada",IF(A30="","","Novo Paciente")))))))))))</f>
        <v>Pendente</v>
      </c>
      <c r="S30" s="4"/>
      <c r="T30" s="10" t="n">
        <f aca="false">IF(A30="","",SUMPRODUCT(($R$2:R30=R30)*($A$2:A30&lt;&gt;"")))</f>
        <v>7</v>
      </c>
      <c r="U30" s="10" t="str">
        <f aca="false">IF(A30="","",R30&amp;"|"&amp;T30)</f>
        <v>Pendente|7</v>
      </c>
      <c r="V30" s="10" t="str">
        <f aca="false">IF(G30="","",TEXT(G30,"mm/yyyy"))</f>
        <v>05/2026</v>
      </c>
      <c r="W30" s="10" t="str">
        <f aca="false">IF(P30="","",TEXT(P30,"mm/yyyy"))</f>
        <v/>
      </c>
      <c r="X30" s="10" t="str">
        <f aca="false">IF(A30="","",IF(OR(R30="Fechado (Total)",R30="Fechado (Parcial)"),"Fechado|"&amp;SUMPRODUCT((($R$2:R30="Fechado (Total)")+($R$2:R30="Fechado (Parcial)"))*($A$2:A30&lt;&gt;"")),""))</f>
        <v/>
      </c>
      <c r="Y30" s="10" t="n">
        <f aca="false">IF(A30="","",IF(D30="Indicação",SUMPRODUCT(($D$2:D30="Indicação")*($A$2:A30&lt;&gt;"")),""))</f>
        <v>24</v>
      </c>
      <c r="Z30" s="10" t="str">
        <f aca="false">IF(Y30="","","Indicacao|"&amp;Y30)</f>
        <v>Indicacao|24</v>
      </c>
      <c r="AA30" s="10" t="str">
        <f aca="false">IF(I30="","",TEXT(I30,"mm/yyyy"))</f>
        <v>08/2026</v>
      </c>
    </row>
    <row r="31" customFormat="false" ht="15" hidden="false" customHeight="true" outlineLevel="0" collapsed="false">
      <c r="A31" s="14" t="s">
        <v>130</v>
      </c>
      <c r="B31" s="4" t="s">
        <v>129</v>
      </c>
      <c r="C31" s="4"/>
      <c r="D31" s="4" t="s">
        <v>29</v>
      </c>
      <c r="E31" s="4"/>
      <c r="F31" s="4" t="s">
        <v>31</v>
      </c>
      <c r="G31" s="12" t="n">
        <v>46146</v>
      </c>
      <c r="H31" s="6" t="s">
        <v>32</v>
      </c>
      <c r="I31" s="15" t="n">
        <v>46251</v>
      </c>
      <c r="J31" s="6" t="s">
        <v>33</v>
      </c>
      <c r="K31" s="6"/>
      <c r="L31" s="6"/>
      <c r="M31" s="7"/>
      <c r="N31" s="6"/>
      <c r="O31" s="7"/>
      <c r="P31" s="8"/>
      <c r="Q31" s="4"/>
      <c r="R31" s="9" t="str">
        <f aca="false">IF(N31="Sim","Fechado (Total)",IF(N31="Parcial","Fechado (Parcial)",IF(N31="Não","Perdido",IF(N31="Pendente","Pendente",IF(N31="Não precisa no momento","Não Precisa no Momento",IF(L31="Sim","Plano de Tratamento",IF(J31="Não","Não Compareceu",IF(J31="Sim","Compareceu",IF(H31="Não","Perdido",IF(H31="Sim","Consulta Marcada",IF(A31="","","Novo Paciente")))))))))))</f>
        <v>Não Compareceu</v>
      </c>
      <c r="S31" s="4"/>
      <c r="T31" s="10" t="n">
        <f aca="false">IF(A31="","",SUMPRODUCT(($R$2:R31=R31)*($A$2:A31&lt;&gt;"")))</f>
        <v>1</v>
      </c>
      <c r="U31" s="10" t="str">
        <f aca="false">IF(A31="","",R31&amp;"|"&amp;T31)</f>
        <v>Não Compareceu|1</v>
      </c>
      <c r="V31" s="10" t="str">
        <f aca="false">IF(G31="","",TEXT(G31,"mm/yyyy"))</f>
        <v>05/2026</v>
      </c>
      <c r="W31" s="10" t="str">
        <f aca="false">IF(P31="","",TEXT(P31,"mm/yyyy"))</f>
        <v/>
      </c>
      <c r="X31" s="10" t="str">
        <f aca="false">IF(A31="","",IF(OR(R31="Fechado (Total)",R31="Fechado (Parcial)"),"Fechado|"&amp;SUMPRODUCT((($R$2:R31="Fechado (Total)")+($R$2:R31="Fechado (Parcial)"))*($A$2:A31&lt;&gt;"")),""))</f>
        <v/>
      </c>
      <c r="Y31" s="10" t="n">
        <f aca="false">IF(A31="","",IF(D31="Indicação",SUMPRODUCT(($D$2:D31="Indicação")*($A$2:A31&lt;&gt;"")),""))</f>
        <v>25</v>
      </c>
      <c r="Z31" s="10" t="str">
        <f aca="false">IF(Y31="","","Indicacao|"&amp;Y31)</f>
        <v>Indicacao|25</v>
      </c>
      <c r="AA31" s="10" t="str">
        <f aca="false">IF(I31="","",TEXT(I31,"mm/yyyy"))</f>
        <v>08/2026</v>
      </c>
    </row>
    <row r="32" customFormat="false" ht="15" hidden="false" customHeight="true" outlineLevel="0" collapsed="false">
      <c r="A32" s="4" t="s">
        <v>131</v>
      </c>
      <c r="B32" s="4" t="s">
        <v>132</v>
      </c>
      <c r="C32" s="4"/>
      <c r="D32" s="4" t="s">
        <v>29</v>
      </c>
      <c r="E32" s="4" t="s">
        <v>133</v>
      </c>
      <c r="F32" s="4" t="s">
        <v>39</v>
      </c>
      <c r="G32" s="8"/>
      <c r="H32" s="6" t="s">
        <v>32</v>
      </c>
      <c r="I32" s="15" t="n">
        <v>46255</v>
      </c>
      <c r="J32" s="6" t="s">
        <v>32</v>
      </c>
      <c r="K32" s="6" t="s">
        <v>33</v>
      </c>
      <c r="L32" s="6" t="s">
        <v>32</v>
      </c>
      <c r="M32" s="7"/>
      <c r="N32" s="6" t="s">
        <v>62</v>
      </c>
      <c r="O32" s="7"/>
      <c r="P32" s="8"/>
      <c r="Q32" s="4"/>
      <c r="R32" s="9" t="str">
        <f aca="false">IF(N32="Sim","Fechado (Total)",IF(N32="Parcial","Fechado (Parcial)",IF(N32="Não","Perdido",IF(N32="Pendente","Pendente",IF(N32="Não precisa no momento","Não Precisa no Momento",IF(L32="Sim","Plano de Tratamento",IF(J32="Não","Não Compareceu",IF(J32="Sim","Compareceu",IF(H32="Não","Perdido",IF(H32="Sim","Consulta Marcada",IF(A32="","","Novo Paciente")))))))))))</f>
        <v>Pendente</v>
      </c>
      <c r="S32" s="4"/>
      <c r="T32" s="10" t="n">
        <f aca="false">IF(A32="","",SUMPRODUCT(($R$2:R32=R32)*($A$2:A32&lt;&gt;"")))</f>
        <v>8</v>
      </c>
      <c r="U32" s="10" t="str">
        <f aca="false">IF(A32="","",R32&amp;"|"&amp;T32)</f>
        <v>Pendente|8</v>
      </c>
      <c r="V32" s="10" t="str">
        <f aca="false">IF(G32="","",TEXT(G32,"mm/yyyy"))</f>
        <v/>
      </c>
      <c r="W32" s="10" t="str">
        <f aca="false">IF(P32="","",TEXT(P32,"mm/yyyy"))</f>
        <v/>
      </c>
      <c r="X32" s="10" t="str">
        <f aca="false">IF(A32="","",IF(OR(R32="Fechado (Total)",R32="Fechado (Parcial)"),"Fechado|"&amp;SUMPRODUCT((($R$2:R32="Fechado (Total)")+($R$2:R32="Fechado (Parcial)"))*($A$2:A32&lt;&gt;"")),""))</f>
        <v/>
      </c>
      <c r="Y32" s="10" t="n">
        <f aca="false">IF(A32="","",IF(D32="Indicação",SUMPRODUCT(($D$2:D32="Indicação")*($A$2:A32&lt;&gt;"")),""))</f>
        <v>26</v>
      </c>
      <c r="Z32" s="10" t="str">
        <f aca="false">IF(Y32="","","Indicacao|"&amp;Y32)</f>
        <v>Indicacao|26</v>
      </c>
      <c r="AA32" s="10" t="str">
        <f aca="false">IF(I32="","",TEXT(I32,"mm/yyyy"))</f>
        <v>08/2026</v>
      </c>
    </row>
    <row r="33" customFormat="false" ht="15" hidden="false" customHeight="true" outlineLevel="0" collapsed="false">
      <c r="A33" s="16" t="s">
        <v>134</v>
      </c>
      <c r="B33" s="4" t="s">
        <v>135</v>
      </c>
      <c r="C33" s="4" t="s">
        <v>136</v>
      </c>
      <c r="D33" s="4" t="s">
        <v>29</v>
      </c>
      <c r="E33" s="4" t="s">
        <v>80</v>
      </c>
      <c r="F33" s="4"/>
      <c r="G33" s="11" t="n">
        <v>46197</v>
      </c>
      <c r="H33" s="6" t="s">
        <v>32</v>
      </c>
      <c r="I33" s="15" t="n">
        <v>46252</v>
      </c>
      <c r="J33" s="6" t="s">
        <v>32</v>
      </c>
      <c r="K33" s="6" t="s">
        <v>33</v>
      </c>
      <c r="L33" s="6"/>
      <c r="M33" s="7"/>
      <c r="N33" s="6"/>
      <c r="O33" s="7"/>
      <c r="P33" s="8"/>
      <c r="Q33" s="4"/>
      <c r="R33" s="9" t="str">
        <f aca="false">IF(N33="Sim","Fechado (Total)",IF(N33="Parcial","Fechado (Parcial)",IF(N33="Não","Perdido",IF(N33="Pendente","Pendente",IF(N33="Não precisa no momento","Não Precisa no Momento",IF(L33="Sim","Plano de Tratamento",IF(J33="Não","Não Compareceu",IF(J33="Sim","Compareceu",IF(H33="Não","Perdido",IF(H33="Sim","Consulta Marcada",IF(A33="","","Novo Paciente")))))))))))</f>
        <v>Compareceu</v>
      </c>
      <c r="S33" s="4"/>
      <c r="T33" s="10" t="n">
        <f aca="false">IF(A33="","",SUMPRODUCT(($R$2:R33=R33)*($A$2:A33&lt;&gt;"")))</f>
        <v>2</v>
      </c>
      <c r="U33" s="10" t="str">
        <f aca="false">IF(A33="","",R33&amp;"|"&amp;T33)</f>
        <v>Compareceu|2</v>
      </c>
      <c r="V33" s="10" t="str">
        <f aca="false">IF(G33="","",TEXT(G33,"mm/yyyy"))</f>
        <v>06/2026</v>
      </c>
      <c r="W33" s="10" t="str">
        <f aca="false">IF(P33="","",TEXT(P33,"mm/yyyy"))</f>
        <v/>
      </c>
      <c r="X33" s="10" t="str">
        <f aca="false">IF(A33="","",IF(OR(R33="Fechado (Total)",R33="Fechado (Parcial)"),"Fechado|"&amp;SUMPRODUCT((($R$2:R33="Fechado (Total)")+($R$2:R33="Fechado (Parcial)"))*($A$2:A33&lt;&gt;"")),""))</f>
        <v/>
      </c>
      <c r="Y33" s="10" t="n">
        <f aca="false">IF(A33="","",IF(D33="Indicação",SUMPRODUCT(($D$2:D33="Indicação")*($A$2:A33&lt;&gt;"")),""))</f>
        <v>27</v>
      </c>
      <c r="Z33" s="10" t="str">
        <f aca="false">IF(Y33="","","Indicacao|"&amp;Y33)</f>
        <v>Indicacao|27</v>
      </c>
      <c r="AA33" s="10" t="str">
        <f aca="false">IF(I33="","",TEXT(I33,"mm/yyyy"))</f>
        <v>08/2026</v>
      </c>
    </row>
    <row r="34" customFormat="false" ht="15" hidden="false" customHeight="true" outlineLevel="0" collapsed="false">
      <c r="A34" s="18" t="s">
        <v>137</v>
      </c>
      <c r="B34" s="16" t="s">
        <v>135</v>
      </c>
      <c r="C34" s="4" t="s">
        <v>136</v>
      </c>
      <c r="D34" s="4" t="s">
        <v>29</v>
      </c>
      <c r="E34" s="4" t="s">
        <v>93</v>
      </c>
      <c r="F34" s="4"/>
      <c r="G34" s="11" t="n">
        <v>46197</v>
      </c>
      <c r="H34" s="6" t="s">
        <v>32</v>
      </c>
      <c r="I34" s="15" t="n">
        <v>46251</v>
      </c>
      <c r="J34" s="6" t="s">
        <v>32</v>
      </c>
      <c r="K34" s="6" t="s">
        <v>33</v>
      </c>
      <c r="L34" s="6"/>
      <c r="M34" s="7"/>
      <c r="N34" s="6"/>
      <c r="O34" s="7"/>
      <c r="P34" s="8"/>
      <c r="Q34" s="4"/>
      <c r="R34" s="9" t="str">
        <f aca="false">IF(N34="Sim","Fechado (Total)",IF(N34="Parcial","Fechado (Parcial)",IF(N34="Não","Perdido",IF(N34="Pendente","Pendente",IF(N34="Não precisa no momento","Não Precisa no Momento",IF(L34="Sim","Plano de Tratamento",IF(J34="Não","Não Compareceu",IF(J34="Sim","Compareceu",IF(H34="Não","Perdido",IF(H34="Sim","Consulta Marcada",IF(A34="","","Novo Paciente")))))))))))</f>
        <v>Compareceu</v>
      </c>
      <c r="S34" s="4"/>
      <c r="T34" s="10" t="n">
        <f aca="false">IF(A34="","",SUMPRODUCT(($R$2:R34=R34)*($A$2:A34&lt;&gt;"")))</f>
        <v>3</v>
      </c>
      <c r="U34" s="10" t="str">
        <f aca="false">IF(A34="","",R34&amp;"|"&amp;T34)</f>
        <v>Compareceu|3</v>
      </c>
      <c r="V34" s="10" t="str">
        <f aca="false">IF(G34="","",TEXT(G34,"mm/yyyy"))</f>
        <v>06/2026</v>
      </c>
      <c r="W34" s="10" t="str">
        <f aca="false">IF(P34="","",TEXT(P34,"mm/yyyy"))</f>
        <v/>
      </c>
      <c r="X34" s="10" t="str">
        <f aca="false">IF(A34="","",IF(OR(R34="Fechado (Total)",R34="Fechado (Parcial)"),"Fechado|"&amp;SUMPRODUCT((($R$2:R34="Fechado (Total)")+($R$2:R34="Fechado (Parcial)"))*($A$2:A34&lt;&gt;"")),""))</f>
        <v/>
      </c>
      <c r="Y34" s="10" t="n">
        <f aca="false">IF(A34="","",IF(D34="Indicação",SUMPRODUCT(($D$2:D34="Indicação")*($A$2:A34&lt;&gt;"")),""))</f>
        <v>28</v>
      </c>
      <c r="Z34" s="10" t="str">
        <f aca="false">IF(Y34="","","Indicacao|"&amp;Y34)</f>
        <v>Indicacao|28</v>
      </c>
      <c r="AA34" s="10" t="str">
        <f aca="false">IF(I34="","",TEXT(I34,"mm/yyyy"))</f>
        <v>08/2026</v>
      </c>
    </row>
    <row r="35" customFormat="false" ht="15" hidden="false" customHeight="true" outlineLevel="0" collapsed="false">
      <c r="A35" s="18" t="s">
        <v>138</v>
      </c>
      <c r="B35" s="4" t="s">
        <v>139</v>
      </c>
      <c r="C35" s="4" t="s">
        <v>140</v>
      </c>
      <c r="D35" s="4" t="s">
        <v>47</v>
      </c>
      <c r="E35" s="4"/>
      <c r="F35" s="4"/>
      <c r="G35" s="15" t="n">
        <v>46254</v>
      </c>
      <c r="H35" s="6" t="s">
        <v>32</v>
      </c>
      <c r="I35" s="15" t="n">
        <v>46252</v>
      </c>
      <c r="J35" s="6" t="s">
        <v>32</v>
      </c>
      <c r="K35" s="6" t="s">
        <v>32</v>
      </c>
      <c r="L35" s="6" t="s">
        <v>32</v>
      </c>
      <c r="M35" s="7" t="n">
        <v>4000</v>
      </c>
      <c r="N35" s="6" t="s">
        <v>32</v>
      </c>
      <c r="O35" s="7" t="n">
        <v>4000</v>
      </c>
      <c r="P35" s="8" t="n">
        <v>46252</v>
      </c>
      <c r="Q35" s="4"/>
      <c r="R35" s="9" t="str">
        <f aca="false">IF(N35="Sim","Fechado (Total)",IF(N35="Parcial","Fechado (Parcial)",IF(N35="Não","Perdido",IF(N35="Pendente","Pendente",IF(N35="Não precisa no momento","Não Precisa no Momento",IF(L35="Sim","Plano de Tratamento",IF(J35="Não","Não Compareceu",IF(J35="Sim","Compareceu",IF(H35="Não","Perdido",IF(H35="Sim","Consulta Marcada",IF(A35="","","Novo Paciente")))))))))))</f>
        <v>Fechado (Total)</v>
      </c>
      <c r="S35" s="4"/>
      <c r="T35" s="10" t="n">
        <f aca="false">IF(A35="","",SUMPRODUCT(($R$2:R35=R35)*($A$2:A35&lt;&gt;"")))</f>
        <v>14</v>
      </c>
      <c r="U35" s="10" t="str">
        <f aca="false">IF(A35="","",R35&amp;"|"&amp;T35)</f>
        <v>Fechado (Total)|14</v>
      </c>
      <c r="V35" s="10" t="str">
        <f aca="false">IF(G35="","",TEXT(G35,"mm/yyyy"))</f>
        <v>08/2026</v>
      </c>
      <c r="W35" s="10" t="str">
        <f aca="false">IF(P35="","",TEXT(P35,"mm/yyyy"))</f>
        <v>08/2026</v>
      </c>
      <c r="X35" s="10" t="str">
        <f aca="false">IF(A35="","",IF(OR(R35="Fechado (Total)",R35="Fechado (Parcial)"),"Fechado|"&amp;SUMPRODUCT((($R$2:R35="Fechado (Total)")+($R$2:R35="Fechado (Parcial)"))*($A$2:A35&lt;&gt;"")),""))</f>
        <v>Fechado|14</v>
      </c>
      <c r="Y35" s="10" t="str">
        <f aca="false">IF(A35="","",IF(D35="Indicação",SUMPRODUCT(($D$2:D35="Indicação")*($A$2:A35&lt;&gt;"")),""))</f>
        <v/>
      </c>
      <c r="Z35" s="10" t="str">
        <f aca="false">IF(Y35="","","Indicacao|"&amp;Y35)</f>
        <v/>
      </c>
      <c r="AA35" s="10" t="str">
        <f aca="false">IF(I35="","",TEXT(I35,"mm/yyyy"))</f>
        <v>08/2026</v>
      </c>
    </row>
    <row r="36" customFormat="false" ht="15" hidden="false" customHeight="true" outlineLevel="0" collapsed="false">
      <c r="A36" s="18" t="s">
        <v>141</v>
      </c>
      <c r="B36" s="16" t="s">
        <v>142</v>
      </c>
      <c r="C36" s="4"/>
      <c r="D36" s="4" t="s">
        <v>47</v>
      </c>
      <c r="E36" s="4"/>
      <c r="F36" s="4"/>
      <c r="G36" s="15" t="n">
        <v>46244</v>
      </c>
      <c r="H36" s="6" t="s">
        <v>32</v>
      </c>
      <c r="I36" s="15" t="n">
        <v>46252</v>
      </c>
      <c r="J36" s="6" t="s">
        <v>32</v>
      </c>
      <c r="K36" s="6" t="s">
        <v>32</v>
      </c>
      <c r="L36" s="6" t="s">
        <v>32</v>
      </c>
      <c r="M36" s="7" t="n">
        <v>2000</v>
      </c>
      <c r="N36" s="6" t="s">
        <v>33</v>
      </c>
      <c r="O36" s="7"/>
      <c r="P36" s="8"/>
      <c r="Q36" s="4"/>
      <c r="R36" s="9" t="str">
        <f aca="false">IF(N36="Sim","Fechado (Total)",IF(N36="Parcial","Fechado (Parcial)",IF(N36="Não","Perdido",IF(N36="Pendente","Pendente",IF(N36="Não precisa no momento","Não Precisa no Momento",IF(L36="Sim","Plano de Tratamento",IF(J36="Não","Não Compareceu",IF(J36="Sim","Compareceu",IF(H36="Não","Perdido",IF(H36="Sim","Consulta Marcada",IF(A36="","","Novo Paciente")))))))))))</f>
        <v>Perdido</v>
      </c>
      <c r="S36" s="4"/>
      <c r="T36" s="10" t="n">
        <f aca="false">IF(A36="","",SUMPRODUCT(($R$2:R36=R36)*($A$2:A36&lt;&gt;"")))</f>
        <v>8</v>
      </c>
      <c r="U36" s="10" t="str">
        <f aca="false">IF(A36="","",R36&amp;"|"&amp;T36)</f>
        <v>Perdido|8</v>
      </c>
      <c r="V36" s="10" t="str">
        <f aca="false">IF(G36="","",TEXT(G36,"mm/yyyy"))</f>
        <v>08/2026</v>
      </c>
      <c r="W36" s="10" t="str">
        <f aca="false">IF(P36="","",TEXT(P36,"mm/yyyy"))</f>
        <v/>
      </c>
      <c r="X36" s="10" t="str">
        <f aca="false">IF(A36="","",IF(OR(R36="Fechado (Total)",R36="Fechado (Parcial)"),"Fechado|"&amp;SUMPRODUCT((($R$2:R36="Fechado (Total)")+($R$2:R36="Fechado (Parcial)"))*($A$2:A36&lt;&gt;"")),""))</f>
        <v/>
      </c>
      <c r="Y36" s="10" t="str">
        <f aca="false">IF(A36="","",IF(D36="Indicação",SUMPRODUCT(($D$2:D36="Indicação")*($A$2:A36&lt;&gt;"")),""))</f>
        <v/>
      </c>
      <c r="Z36" s="10" t="str">
        <f aca="false">IF(Y36="","","Indicacao|"&amp;Y36)</f>
        <v/>
      </c>
      <c r="AA36" s="10" t="str">
        <f aca="false">IF(I36="","",TEXT(I36,"mm/yyyy"))</f>
        <v>08/2026</v>
      </c>
    </row>
    <row r="37" customFormat="false" ht="15" hidden="false" customHeight="true" outlineLevel="0" collapsed="false">
      <c r="A37" s="18" t="s">
        <v>143</v>
      </c>
      <c r="B37" s="4" t="s">
        <v>144</v>
      </c>
      <c r="C37" s="4"/>
      <c r="D37" s="4" t="s">
        <v>29</v>
      </c>
      <c r="E37" s="4"/>
      <c r="F37" s="4" t="s">
        <v>39</v>
      </c>
      <c r="G37" s="15" t="n">
        <v>46235</v>
      </c>
      <c r="H37" s="6" t="s">
        <v>32</v>
      </c>
      <c r="I37" s="15" t="n">
        <v>46254</v>
      </c>
      <c r="J37" s="6" t="s">
        <v>32</v>
      </c>
      <c r="K37" s="6" t="s">
        <v>33</v>
      </c>
      <c r="L37" s="6"/>
      <c r="M37" s="7"/>
      <c r="N37" s="6"/>
      <c r="O37" s="7"/>
      <c r="P37" s="8"/>
      <c r="Q37" s="4"/>
      <c r="R37" s="9" t="str">
        <f aca="false">IF(N37="Sim","Fechado (Total)",IF(N37="Parcial","Fechado (Parcial)",IF(N37="Não","Perdido",IF(N37="Pendente","Pendente",IF(N37="Não precisa no momento","Não Precisa no Momento",IF(L37="Sim","Plano de Tratamento",IF(J37="Não","Não Compareceu",IF(J37="Sim","Compareceu",IF(H37="Não","Perdido",IF(H37="Sim","Consulta Marcada",IF(A37="","","Novo Paciente")))))))))))</f>
        <v>Compareceu</v>
      </c>
      <c r="S37" s="4"/>
      <c r="T37" s="10" t="n">
        <f aca="false">IF(A37="","",SUMPRODUCT(($R$2:R37=R37)*($A$2:A37&lt;&gt;"")))</f>
        <v>4</v>
      </c>
      <c r="U37" s="10" t="str">
        <f aca="false">IF(A37="","",R37&amp;"|"&amp;T37)</f>
        <v>Compareceu|4</v>
      </c>
      <c r="V37" s="10" t="str">
        <f aca="false">IF(G37="","",TEXT(G37,"mm/yyyy"))</f>
        <v>08/2026</v>
      </c>
      <c r="W37" s="10" t="str">
        <f aca="false">IF(P37="","",TEXT(P37,"mm/yyyy"))</f>
        <v/>
      </c>
      <c r="X37" s="10" t="str">
        <f aca="false">IF(A37="","",IF(OR(R37="Fechado (Total)",R37="Fechado (Parcial)"),"Fechado|"&amp;SUMPRODUCT((($R$2:R37="Fechado (Total)")+($R$2:R37="Fechado (Parcial)"))*($A$2:A37&lt;&gt;"")),""))</f>
        <v/>
      </c>
      <c r="Y37" s="10" t="n">
        <f aca="false">IF(A37="","",IF(D37="Indicação",SUMPRODUCT(($D$2:D37="Indicação")*($A$2:A37&lt;&gt;"")),""))</f>
        <v>29</v>
      </c>
      <c r="Z37" s="10" t="str">
        <f aca="false">IF(Y37="","","Indicacao|"&amp;Y37)</f>
        <v>Indicacao|29</v>
      </c>
      <c r="AA37" s="10" t="str">
        <f aca="false">IF(I37="","",TEXT(I37,"mm/yyyy"))</f>
        <v>08/2026</v>
      </c>
    </row>
    <row r="38" customFormat="false" ht="15" hidden="false" customHeight="true" outlineLevel="0" collapsed="false">
      <c r="A38" s="18" t="s">
        <v>145</v>
      </c>
      <c r="B38" s="16" t="s">
        <v>146</v>
      </c>
      <c r="C38" s="4"/>
      <c r="D38" s="4" t="s">
        <v>47</v>
      </c>
      <c r="E38" s="4"/>
      <c r="F38" s="4"/>
      <c r="G38" s="15" t="n">
        <v>46244</v>
      </c>
      <c r="H38" s="6" t="s">
        <v>32</v>
      </c>
      <c r="I38" s="15" t="n">
        <v>46244</v>
      </c>
      <c r="J38" s="6" t="s">
        <v>32</v>
      </c>
      <c r="K38" s="6" t="s">
        <v>32</v>
      </c>
      <c r="L38" s="6" t="s">
        <v>32</v>
      </c>
      <c r="M38" s="7" t="n">
        <v>14000</v>
      </c>
      <c r="N38" s="6" t="s">
        <v>62</v>
      </c>
      <c r="O38" s="7"/>
      <c r="P38" s="8"/>
      <c r="Q38" s="4"/>
      <c r="R38" s="9" t="str">
        <f aca="false">IF(N38="Sim","Fechado (Total)",IF(N38="Parcial","Fechado (Parcial)",IF(N38="Não","Perdido",IF(N38="Pendente","Pendente",IF(N38="Não precisa no momento","Não Precisa no Momento",IF(L38="Sim","Plano de Tratamento",IF(J38="Não","Não Compareceu",IF(J38="Sim","Compareceu",IF(H38="Não","Perdido",IF(H38="Sim","Consulta Marcada",IF(A38="","","Novo Paciente")))))))))))</f>
        <v>Pendente</v>
      </c>
      <c r="S38" s="4"/>
      <c r="T38" s="10" t="n">
        <f aca="false">IF(A38="","",SUMPRODUCT(($R$2:R38=R38)*($A$2:A38&lt;&gt;"")))</f>
        <v>9</v>
      </c>
      <c r="U38" s="10" t="str">
        <f aca="false">IF(A38="","",R38&amp;"|"&amp;T38)</f>
        <v>Pendente|9</v>
      </c>
      <c r="V38" s="10" t="str">
        <f aca="false">IF(G38="","",TEXT(G38,"mm/yyyy"))</f>
        <v>08/2026</v>
      </c>
      <c r="W38" s="10" t="str">
        <f aca="false">IF(P38="","",TEXT(P38,"mm/yyyy"))</f>
        <v/>
      </c>
      <c r="X38" s="10" t="str">
        <f aca="false">IF(A38="","",IF(OR(R38="Fechado (Total)",R38="Fechado (Parcial)"),"Fechado|"&amp;SUMPRODUCT((($R$2:R38="Fechado (Total)")+($R$2:R38="Fechado (Parcial)"))*($A$2:A38&lt;&gt;"")),""))</f>
        <v/>
      </c>
      <c r="Y38" s="10" t="str">
        <f aca="false">IF(A38="","",IF(D38="Indicação",SUMPRODUCT(($D$2:D38="Indicação")*($A$2:A38&lt;&gt;"")),""))</f>
        <v/>
      </c>
      <c r="Z38" s="10" t="str">
        <f aca="false">IF(Y38="","","Indicacao|"&amp;Y38)</f>
        <v/>
      </c>
      <c r="AA38" s="10" t="str">
        <f aca="false">IF(I38="","",TEXT(I38,"mm/yyyy"))</f>
        <v>08/2026</v>
      </c>
    </row>
    <row r="39" customFormat="false" ht="15" hidden="false" customHeight="true" outlineLevel="0" collapsed="false">
      <c r="A39" s="18" t="s">
        <v>147</v>
      </c>
      <c r="B39" s="4" t="s">
        <v>148</v>
      </c>
      <c r="C39" s="4" t="s">
        <v>149</v>
      </c>
      <c r="D39" s="4" t="s">
        <v>29</v>
      </c>
      <c r="E39" s="4"/>
      <c r="F39" s="4"/>
      <c r="G39" s="15" t="n">
        <v>46247</v>
      </c>
      <c r="H39" s="6" t="s">
        <v>32</v>
      </c>
      <c r="I39" s="15" t="n">
        <v>46255</v>
      </c>
      <c r="J39" s="6" t="s">
        <v>32</v>
      </c>
      <c r="K39" s="6" t="s">
        <v>32</v>
      </c>
      <c r="L39" s="6" t="s">
        <v>32</v>
      </c>
      <c r="M39" s="7" t="n">
        <v>3800</v>
      </c>
      <c r="N39" s="6" t="s">
        <v>32</v>
      </c>
      <c r="O39" s="7" t="n">
        <v>3800</v>
      </c>
      <c r="P39" s="8" t="n">
        <v>46259</v>
      </c>
      <c r="Q39" s="4"/>
      <c r="R39" s="9" t="str">
        <f aca="false">IF(N39="Sim","Fechado (Total)",IF(N39="Parcial","Fechado (Parcial)",IF(N39="Não","Perdido",IF(N39="Pendente","Pendente",IF(N39="Não precisa no momento","Não Precisa no Momento",IF(L39="Sim","Plano de Tratamento",IF(J39="Não","Não Compareceu",IF(J39="Sim","Compareceu",IF(H39="Não","Perdido",IF(H39="Sim","Consulta Marcada",IF(A39="","","Novo Paciente")))))))))))</f>
        <v>Fechado (Total)</v>
      </c>
      <c r="S39" s="4"/>
      <c r="T39" s="10" t="n">
        <f aca="false">IF(A39="","",SUMPRODUCT(($R$2:R39=R39)*($A$2:A39&lt;&gt;"")))</f>
        <v>15</v>
      </c>
      <c r="U39" s="10" t="str">
        <f aca="false">IF(A39="","",R39&amp;"|"&amp;T39)</f>
        <v>Fechado (Total)|15</v>
      </c>
      <c r="V39" s="10" t="str">
        <f aca="false">IF(G39="","",TEXT(G39,"mm/yyyy"))</f>
        <v>08/2026</v>
      </c>
      <c r="W39" s="10" t="str">
        <f aca="false">IF(P39="","",TEXT(P39,"mm/yyyy"))</f>
        <v>08/2026</v>
      </c>
      <c r="X39" s="10" t="str">
        <f aca="false">IF(A39="","",IF(OR(R39="Fechado (Total)",R39="Fechado (Parcial)"),"Fechado|"&amp;SUMPRODUCT((($R$2:R39="Fechado (Total)")+($R$2:R39="Fechado (Parcial)"))*($A$2:A39&lt;&gt;"")),""))</f>
        <v>Fechado|15</v>
      </c>
      <c r="Y39" s="10" t="n">
        <f aca="false">IF(A39="","",IF(D39="Indicação",SUMPRODUCT(($D$2:D39="Indicação")*($A$2:A39&lt;&gt;"")),""))</f>
        <v>30</v>
      </c>
      <c r="Z39" s="10" t="str">
        <f aca="false">IF(Y39="","","Indicacao|"&amp;Y39)</f>
        <v>Indicacao|30</v>
      </c>
      <c r="AA39" s="10" t="str">
        <f aca="false">IF(I39="","",TEXT(I39,"mm/yyyy"))</f>
        <v>08/2026</v>
      </c>
    </row>
    <row r="40" customFormat="false" ht="15" hidden="false" customHeight="true" outlineLevel="0" collapsed="false">
      <c r="A40" s="18" t="s">
        <v>150</v>
      </c>
      <c r="B40" s="4" t="s">
        <v>151</v>
      </c>
      <c r="C40" s="4" t="s">
        <v>152</v>
      </c>
      <c r="D40" s="4" t="s">
        <v>47</v>
      </c>
      <c r="E40" s="4"/>
      <c r="F40" s="4"/>
      <c r="G40" s="15" t="n">
        <v>46254</v>
      </c>
      <c r="H40" s="6" t="s">
        <v>32</v>
      </c>
      <c r="I40" s="15" t="n">
        <v>46255</v>
      </c>
      <c r="J40" s="6" t="s">
        <v>32</v>
      </c>
      <c r="K40" s="6" t="s">
        <v>32</v>
      </c>
      <c r="L40" s="6" t="s">
        <v>32</v>
      </c>
      <c r="M40" s="7" t="n">
        <v>3000</v>
      </c>
      <c r="N40" s="6" t="s">
        <v>32</v>
      </c>
      <c r="O40" s="7" t="n">
        <v>3000</v>
      </c>
      <c r="P40" s="8"/>
      <c r="Q40" s="4"/>
      <c r="R40" s="9" t="str">
        <f aca="false">IF(N40="Sim","Fechado (Total)",IF(N40="Parcial","Fechado (Parcial)",IF(N40="Não","Perdido",IF(N40="Pendente","Pendente",IF(N40="Não precisa no momento","Não Precisa no Momento",IF(L40="Sim","Plano de Tratamento",IF(J40="Não","Não Compareceu",IF(J40="Sim","Compareceu",IF(H40="Não","Perdido",IF(H40="Sim","Consulta Marcada",IF(A40="","","Novo Paciente")))))))))))</f>
        <v>Fechado (Total)</v>
      </c>
      <c r="S40" s="4"/>
      <c r="T40" s="10" t="n">
        <f aca="false">IF(A40="","",SUMPRODUCT(($R$2:R40=R40)*($A$2:A40&lt;&gt;"")))</f>
        <v>16</v>
      </c>
      <c r="U40" s="10" t="str">
        <f aca="false">IF(A40="","",R40&amp;"|"&amp;T40)</f>
        <v>Fechado (Total)|16</v>
      </c>
      <c r="V40" s="10" t="str">
        <f aca="false">IF(G40="","",TEXT(G40,"mm/yyyy"))</f>
        <v>08/2026</v>
      </c>
      <c r="W40" s="10" t="str">
        <f aca="false">IF(P40="","",TEXT(P40,"mm/yyyy"))</f>
        <v/>
      </c>
      <c r="X40" s="10" t="str">
        <f aca="false">IF(A40="","",IF(OR(R40="Fechado (Total)",R40="Fechado (Parcial)"),"Fechado|"&amp;SUMPRODUCT((($R$2:R40="Fechado (Total)")+($R$2:R40="Fechado (Parcial)"))*($A$2:A40&lt;&gt;"")),""))</f>
        <v>Fechado|16</v>
      </c>
      <c r="Y40" s="10" t="str">
        <f aca="false">IF(A40="","",IF(D40="Indicação",SUMPRODUCT(($D$2:D40="Indicação")*($A$2:A40&lt;&gt;"")),""))</f>
        <v/>
      </c>
      <c r="Z40" s="10" t="str">
        <f aca="false">IF(Y40="","","Indicacao|"&amp;Y40)</f>
        <v/>
      </c>
      <c r="AA40" s="10" t="str">
        <f aca="false">IF(I40="","",TEXT(I40,"mm/yyyy"))</f>
        <v>08/2026</v>
      </c>
    </row>
    <row r="41" customFormat="false" ht="15" hidden="false" customHeight="true" outlineLevel="0" collapsed="false">
      <c r="A41" s="18" t="s">
        <v>153</v>
      </c>
      <c r="B41" s="4" t="s">
        <v>151</v>
      </c>
      <c r="C41" s="4" t="s">
        <v>152</v>
      </c>
      <c r="D41" s="4" t="s">
        <v>47</v>
      </c>
      <c r="E41" s="4"/>
      <c r="F41" s="4"/>
      <c r="G41" s="15" t="n">
        <v>46254</v>
      </c>
      <c r="H41" s="6" t="s">
        <v>32</v>
      </c>
      <c r="I41" s="15" t="n">
        <v>46255</v>
      </c>
      <c r="J41" s="6" t="s">
        <v>32</v>
      </c>
      <c r="K41" s="6" t="s">
        <v>32</v>
      </c>
      <c r="L41" s="6" t="s">
        <v>33</v>
      </c>
      <c r="M41" s="7"/>
      <c r="N41" s="6"/>
      <c r="O41" s="7"/>
      <c r="P41" s="8"/>
      <c r="Q41" s="4"/>
      <c r="R41" s="9" t="str">
        <f aca="false">IF(N41="Sim","Fechado (Total)",IF(N41="Parcial","Fechado (Parcial)",IF(N41="Não","Perdido",IF(N41="Pendente","Pendente",IF(N41="Não precisa no momento","Não Precisa no Momento",IF(L41="Sim","Plano de Tratamento",IF(J41="Não","Não Compareceu",IF(J41="Sim","Compareceu",IF(H41="Não","Perdido",IF(H41="Sim","Consulta Marcada",IF(A41="","","Novo Paciente")))))))))))</f>
        <v>Compareceu</v>
      </c>
      <c r="S41" s="4"/>
      <c r="T41" s="10" t="n">
        <f aca="false">IF(A41="","",SUMPRODUCT(($R$2:R41=R41)*($A$2:A41&lt;&gt;"")))</f>
        <v>5</v>
      </c>
      <c r="U41" s="10" t="str">
        <f aca="false">IF(A41="","",R41&amp;"|"&amp;T41)</f>
        <v>Compareceu|5</v>
      </c>
      <c r="V41" s="10" t="str">
        <f aca="false">IF(G41="","",TEXT(G41,"mm/yyyy"))</f>
        <v>08/2026</v>
      </c>
      <c r="W41" s="10" t="str">
        <f aca="false">IF(P41="","",TEXT(P41,"mm/yyyy"))</f>
        <v/>
      </c>
      <c r="X41" s="10" t="str">
        <f aca="false">IF(A41="","",IF(OR(R41="Fechado (Total)",R41="Fechado (Parcial)"),"Fechado|"&amp;SUMPRODUCT((($R$2:R41="Fechado (Total)")+($R$2:R41="Fechado (Parcial)"))*($A$2:A41&lt;&gt;"")),""))</f>
        <v/>
      </c>
      <c r="Y41" s="10" t="str">
        <f aca="false">IF(A41="","",IF(D41="Indicação",SUMPRODUCT(($D$2:D41="Indicação")*($A$2:A41&lt;&gt;"")),""))</f>
        <v/>
      </c>
      <c r="Z41" s="10" t="str">
        <f aca="false">IF(Y41="","","Indicacao|"&amp;Y41)</f>
        <v/>
      </c>
      <c r="AA41" s="10" t="str">
        <f aca="false">IF(I41="","",TEXT(I41,"mm/yyyy"))</f>
        <v>08/2026</v>
      </c>
    </row>
    <row r="42" customFormat="false" ht="15" hidden="false" customHeight="true" outlineLevel="0" collapsed="false">
      <c r="A42" s="16" t="s">
        <v>154</v>
      </c>
      <c r="B42" s="4" t="s">
        <v>155</v>
      </c>
      <c r="C42" s="4" t="s">
        <v>156</v>
      </c>
      <c r="D42" s="4" t="s">
        <v>47</v>
      </c>
      <c r="E42" s="4"/>
      <c r="F42" s="4"/>
      <c r="G42" s="15" t="n">
        <v>46254</v>
      </c>
      <c r="H42" s="6" t="s">
        <v>32</v>
      </c>
      <c r="I42" s="15" t="n">
        <v>46256</v>
      </c>
      <c r="J42" s="6" t="s">
        <v>32</v>
      </c>
      <c r="K42" s="6" t="s">
        <v>33</v>
      </c>
      <c r="L42" s="6" t="s">
        <v>32</v>
      </c>
      <c r="M42" s="7" t="n">
        <v>13800</v>
      </c>
      <c r="N42" s="6" t="s">
        <v>62</v>
      </c>
      <c r="O42" s="7"/>
      <c r="P42" s="8"/>
      <c r="Q42" s="4"/>
      <c r="R42" s="9" t="str">
        <f aca="false">IF(N42="Sim","Fechado (Total)",IF(N42="Parcial","Fechado (Parcial)",IF(N42="Não","Perdido",IF(N42="Pendente","Pendente",IF(N42="Não precisa no momento","Não Precisa no Momento",IF(L42="Sim","Plano de Tratamento",IF(J42="Não","Não Compareceu",IF(J42="Sim","Compareceu",IF(H42="Não","Perdido",IF(H42="Sim","Consulta Marcada",IF(A42="","","Novo Paciente")))))))))))</f>
        <v>Pendente</v>
      </c>
      <c r="S42" s="4"/>
      <c r="T42" s="10" t="n">
        <f aca="false">IF(A42="","",SUMPRODUCT(($R$2:R42=R42)*($A$2:A42&lt;&gt;"")))</f>
        <v>10</v>
      </c>
      <c r="U42" s="10" t="str">
        <f aca="false">IF(A42="","",R42&amp;"|"&amp;T42)</f>
        <v>Pendente|10</v>
      </c>
      <c r="V42" s="10" t="str">
        <f aca="false">IF(G42="","",TEXT(G42,"mm/yyyy"))</f>
        <v>08/2026</v>
      </c>
      <c r="W42" s="10" t="str">
        <f aca="false">IF(P42="","",TEXT(P42,"mm/yyyy"))</f>
        <v/>
      </c>
      <c r="X42" s="10" t="str">
        <f aca="false">IF(A42="","",IF(OR(R42="Fechado (Total)",R42="Fechado (Parcial)"),"Fechado|"&amp;SUMPRODUCT((($R$2:R42="Fechado (Total)")+($R$2:R42="Fechado (Parcial)"))*($A$2:A42&lt;&gt;"")),""))</f>
        <v/>
      </c>
      <c r="Y42" s="10" t="str">
        <f aca="false">IF(A42="","",IF(D42="Indicação",SUMPRODUCT(($D$2:D42="Indicação")*($A$2:A42&lt;&gt;"")),""))</f>
        <v/>
      </c>
      <c r="Z42" s="10" t="str">
        <f aca="false">IF(Y42="","","Indicacao|"&amp;Y42)</f>
        <v/>
      </c>
      <c r="AA42" s="10" t="str">
        <f aca="false">IF(I42="","",TEXT(I42,"mm/yyyy"))</f>
        <v>08/2026</v>
      </c>
    </row>
    <row r="43" customFormat="false" ht="15" hidden="false" customHeight="true" outlineLevel="0" collapsed="false">
      <c r="A43" s="4" t="s">
        <v>157</v>
      </c>
      <c r="B43" s="4" t="s">
        <v>155</v>
      </c>
      <c r="C43" s="4" t="s">
        <v>156</v>
      </c>
      <c r="D43" s="4" t="s">
        <v>47</v>
      </c>
      <c r="E43" s="4"/>
      <c r="F43" s="4"/>
      <c r="G43" s="15" t="n">
        <v>46254</v>
      </c>
      <c r="H43" s="6" t="s">
        <v>32</v>
      </c>
      <c r="I43" s="15" t="n">
        <v>46256</v>
      </c>
      <c r="J43" s="6" t="s">
        <v>32</v>
      </c>
      <c r="K43" s="6" t="s">
        <v>32</v>
      </c>
      <c r="L43" s="6" t="s">
        <v>33</v>
      </c>
      <c r="M43" s="7"/>
      <c r="N43" s="6"/>
      <c r="O43" s="7"/>
      <c r="P43" s="8"/>
      <c r="Q43" s="4"/>
      <c r="R43" s="9" t="str">
        <f aca="false">IF(N43="Sim","Fechado (Total)",IF(N43="Parcial","Fechado (Parcial)",IF(N43="Não","Perdido",IF(N43="Pendente","Pendente",IF(N43="Não precisa no momento","Não Precisa no Momento",IF(L43="Sim","Plano de Tratamento",IF(J43="Não","Não Compareceu",IF(J43="Sim","Compareceu",IF(H43="Não","Perdido",IF(H43="Sim","Consulta Marcada",IF(A43="","","Novo Paciente")))))))))))</f>
        <v>Compareceu</v>
      </c>
      <c r="S43" s="4"/>
      <c r="T43" s="10" t="n">
        <f aca="false">IF(A43="","",SUMPRODUCT(($R$2:R43=R43)*($A$2:A43&lt;&gt;"")))</f>
        <v>6</v>
      </c>
      <c r="U43" s="10" t="str">
        <f aca="false">IF(A43="","",R43&amp;"|"&amp;T43)</f>
        <v>Compareceu|6</v>
      </c>
      <c r="V43" s="10" t="str">
        <f aca="false">IF(G43="","",TEXT(G43,"mm/yyyy"))</f>
        <v>08/2026</v>
      </c>
      <c r="W43" s="10" t="str">
        <f aca="false">IF(P43="","",TEXT(P43,"mm/yyyy"))</f>
        <v/>
      </c>
      <c r="X43" s="10" t="str">
        <f aca="false">IF(A43="","",IF(OR(R43="Fechado (Total)",R43="Fechado (Parcial)"),"Fechado|"&amp;SUMPRODUCT((($R$2:R43="Fechado (Total)")+($R$2:R43="Fechado (Parcial)"))*($A$2:A43&lt;&gt;"")),""))</f>
        <v/>
      </c>
      <c r="Y43" s="10" t="str">
        <f aca="false">IF(A43="","",IF(D43="Indicação",SUMPRODUCT(($D$2:D43="Indicação")*($A$2:A43&lt;&gt;"")),""))</f>
        <v/>
      </c>
      <c r="Z43" s="10" t="str">
        <f aca="false">IF(Y43="","","Indicacao|"&amp;Y43)</f>
        <v/>
      </c>
      <c r="AA43" s="10" t="str">
        <f aca="false">IF(I43="","",TEXT(I43,"mm/yyyy"))</f>
        <v>08/2026</v>
      </c>
    </row>
    <row r="44" customFormat="false" ht="15" hidden="false" customHeight="true" outlineLevel="0" collapsed="false">
      <c r="A44" s="16" t="s">
        <v>158</v>
      </c>
      <c r="B44" s="4" t="s">
        <v>159</v>
      </c>
      <c r="C44" s="4" t="s">
        <v>160</v>
      </c>
      <c r="D44" s="4" t="s">
        <v>47</v>
      </c>
      <c r="E44" s="4"/>
      <c r="F44" s="4" t="s">
        <v>39</v>
      </c>
      <c r="G44" s="15" t="n">
        <v>46249</v>
      </c>
      <c r="H44" s="6" t="s">
        <v>32</v>
      </c>
      <c r="I44" s="15" t="n">
        <v>46258</v>
      </c>
      <c r="J44" s="6" t="s">
        <v>32</v>
      </c>
      <c r="K44" s="6" t="s">
        <v>32</v>
      </c>
      <c r="L44" s="6" t="s">
        <v>32</v>
      </c>
      <c r="M44" s="7" t="n">
        <v>2000</v>
      </c>
      <c r="N44" s="6" t="s">
        <v>62</v>
      </c>
      <c r="O44" s="7"/>
      <c r="P44" s="8"/>
      <c r="Q44" s="4"/>
      <c r="R44" s="9" t="str">
        <f aca="false">IF(N44="Sim","Fechado (Total)",IF(N44="Parcial","Fechado (Parcial)",IF(N44="Não","Perdido",IF(N44="Pendente","Pendente",IF(N44="Não precisa no momento","Não Precisa no Momento",IF(L44="Sim","Plano de Tratamento",IF(J44="Não","Não Compareceu",IF(J44="Sim","Compareceu",IF(H44="Não","Perdido",IF(H44="Sim","Consulta Marcada",IF(A44="","","Novo Paciente")))))))))))</f>
        <v>Pendente</v>
      </c>
      <c r="S44" s="4"/>
      <c r="T44" s="10" t="n">
        <f aca="false">IF(A44="","",SUMPRODUCT(($R$2:R44=R44)*($A$2:A44&lt;&gt;"")))</f>
        <v>11</v>
      </c>
      <c r="U44" s="10" t="str">
        <f aca="false">IF(A44="","",R44&amp;"|"&amp;T44)</f>
        <v>Pendente|11</v>
      </c>
      <c r="V44" s="10" t="str">
        <f aca="false">IF(G44="","",TEXT(G44,"mm/yyyy"))</f>
        <v>08/2026</v>
      </c>
      <c r="W44" s="10" t="str">
        <f aca="false">IF(P44="","",TEXT(P44,"mm/yyyy"))</f>
        <v/>
      </c>
      <c r="X44" s="10" t="str">
        <f aca="false">IF(A44="","",IF(OR(R44="Fechado (Total)",R44="Fechado (Parcial)"),"Fechado|"&amp;SUMPRODUCT((($R$2:R44="Fechado (Total)")+($R$2:R44="Fechado (Parcial)"))*($A$2:A44&lt;&gt;"")),""))</f>
        <v/>
      </c>
      <c r="Y44" s="10" t="str">
        <f aca="false">IF(A44="","",IF(D44="Indicação",SUMPRODUCT(($D$2:D44="Indicação")*($A$2:A44&lt;&gt;"")),""))</f>
        <v/>
      </c>
      <c r="Z44" s="10" t="str">
        <f aca="false">IF(Y44="","","Indicacao|"&amp;Y44)</f>
        <v/>
      </c>
      <c r="AA44" s="10" t="str">
        <f aca="false">IF(I44="","",TEXT(I44,"mm/yyyy"))</f>
        <v>08/2026</v>
      </c>
    </row>
    <row r="45" customFormat="false" ht="15" hidden="false" customHeight="true" outlineLevel="0" collapsed="false">
      <c r="A45" s="4" t="s">
        <v>161</v>
      </c>
      <c r="B45" s="4" t="s">
        <v>162</v>
      </c>
      <c r="C45" s="4"/>
      <c r="D45" s="4" t="s">
        <v>29</v>
      </c>
      <c r="E45" s="4" t="s">
        <v>80</v>
      </c>
      <c r="F45" s="4" t="s">
        <v>31</v>
      </c>
      <c r="G45" s="15" t="n">
        <v>46259</v>
      </c>
      <c r="H45" s="6" t="s">
        <v>32</v>
      </c>
      <c r="I45" s="15" t="n">
        <v>46262</v>
      </c>
      <c r="J45" s="6" t="s">
        <v>32</v>
      </c>
      <c r="K45" s="6" t="s">
        <v>32</v>
      </c>
      <c r="L45" s="6" t="s">
        <v>32</v>
      </c>
      <c r="M45" s="7" t="n">
        <v>3800</v>
      </c>
      <c r="N45" s="6" t="s">
        <v>32</v>
      </c>
      <c r="O45" s="7" t="n">
        <v>3800</v>
      </c>
      <c r="P45" s="8" t="n">
        <v>46262</v>
      </c>
      <c r="Q45" s="4"/>
      <c r="R45" s="9" t="str">
        <f aca="false">IF(N45="Sim","Fechado (Total)",IF(N45="Parcial","Fechado (Parcial)",IF(N45="Não","Perdido",IF(N45="Pendente","Pendente",IF(N45="Não precisa no momento","Não Precisa no Momento",IF(L45="Sim","Plano de Tratamento",IF(J45="Não","Não Compareceu",IF(J45="Sim","Compareceu",IF(H45="Não","Perdido",IF(H45="Sim","Consulta Marcada",IF(A45="","","Novo Paciente")))))))))))</f>
        <v>Fechado (Total)</v>
      </c>
      <c r="S45" s="4"/>
      <c r="T45" s="10" t="n">
        <f aca="false">IF(A45="","",SUMPRODUCT(($R$2:R45=R45)*($A$2:A45&lt;&gt;"")))</f>
        <v>17</v>
      </c>
      <c r="U45" s="10" t="str">
        <f aca="false">IF(A45="","",R45&amp;"|"&amp;T45)</f>
        <v>Fechado (Total)|17</v>
      </c>
      <c r="V45" s="10" t="str">
        <f aca="false">IF(G45="","",TEXT(G45,"mm/yyyy"))</f>
        <v>08/2026</v>
      </c>
      <c r="W45" s="10" t="str">
        <f aca="false">IF(P45="","",TEXT(P45,"mm/yyyy"))</f>
        <v>08/2026</v>
      </c>
      <c r="X45" s="10" t="str">
        <f aca="false">IF(A45="","",IF(OR(R45="Fechado (Total)",R45="Fechado (Parcial)"),"Fechado|"&amp;SUMPRODUCT((($R$2:R45="Fechado (Total)")+($R$2:R45="Fechado (Parcial)"))*($A$2:A45&lt;&gt;"")),""))</f>
        <v>Fechado|17</v>
      </c>
      <c r="Y45" s="10" t="n">
        <f aca="false">IF(A45="","",IF(D45="Indicação",SUMPRODUCT(($D$2:D45="Indicação")*($A$2:A45&lt;&gt;"")),""))</f>
        <v>31</v>
      </c>
      <c r="Z45" s="10" t="str">
        <f aca="false">IF(Y45="","","Indicacao|"&amp;Y45)</f>
        <v>Indicacao|31</v>
      </c>
      <c r="AA45" s="10" t="str">
        <f aca="false">IF(I45="","",TEXT(I45,"mm/yyyy"))</f>
        <v>08/2026</v>
      </c>
    </row>
    <row r="46" customFormat="false" ht="15" hidden="false" customHeight="true" outlineLevel="0" collapsed="false">
      <c r="A46" s="4" t="s">
        <v>163</v>
      </c>
      <c r="B46" s="4" t="s">
        <v>164</v>
      </c>
      <c r="C46" s="4"/>
      <c r="D46" s="4" t="s">
        <v>47</v>
      </c>
      <c r="E46" s="4" t="s">
        <v>93</v>
      </c>
      <c r="F46" s="4" t="s">
        <v>39</v>
      </c>
      <c r="G46" s="15" t="n">
        <v>46256</v>
      </c>
      <c r="H46" s="6" t="s">
        <v>32</v>
      </c>
      <c r="I46" s="15" t="n">
        <v>46261</v>
      </c>
      <c r="J46" s="6" t="s">
        <v>32</v>
      </c>
      <c r="K46" s="6" t="s">
        <v>33</v>
      </c>
      <c r="L46" s="6"/>
      <c r="M46" s="7"/>
      <c r="N46" s="6"/>
      <c r="O46" s="7"/>
      <c r="P46" s="8"/>
      <c r="Q46" s="4"/>
      <c r="R46" s="9" t="str">
        <f aca="false">IF(N46="Sim","Fechado (Total)",IF(N46="Parcial","Fechado (Parcial)",IF(N46="Não","Perdido",IF(N46="Pendente","Pendente",IF(N46="Não precisa no momento","Não Precisa no Momento",IF(L46="Sim","Plano de Tratamento",IF(J46="Não","Não Compareceu",IF(J46="Sim","Compareceu",IF(H46="Não","Perdido",IF(H46="Sim","Consulta Marcada",IF(A46="","","Novo Paciente")))))))))))</f>
        <v>Compareceu</v>
      </c>
      <c r="S46" s="4"/>
      <c r="T46" s="10" t="n">
        <f aca="false">IF(A46="","",SUMPRODUCT(($R$2:R46=R46)*($A$2:A46&lt;&gt;"")))</f>
        <v>7</v>
      </c>
      <c r="U46" s="10" t="str">
        <f aca="false">IF(A46="","",R46&amp;"|"&amp;T46)</f>
        <v>Compareceu|7</v>
      </c>
      <c r="V46" s="10" t="str">
        <f aca="false">IF(G46="","",TEXT(G46,"mm/yyyy"))</f>
        <v>08/2026</v>
      </c>
      <c r="W46" s="10" t="str">
        <f aca="false">IF(P46="","",TEXT(P46,"mm/yyyy"))</f>
        <v/>
      </c>
      <c r="X46" s="10" t="str">
        <f aca="false">IF(A46="","",IF(OR(R46="Fechado (Total)",R46="Fechado (Parcial)"),"Fechado|"&amp;SUMPRODUCT((($R$2:R46="Fechado (Total)")+($R$2:R46="Fechado (Parcial)"))*($A$2:A46&lt;&gt;"")),""))</f>
        <v/>
      </c>
      <c r="Y46" s="10" t="str">
        <f aca="false">IF(A46="","",IF(D46="Indicação",SUMPRODUCT(($D$2:D46="Indicação")*($A$2:A46&lt;&gt;"")),""))</f>
        <v/>
      </c>
      <c r="Z46" s="10" t="str">
        <f aca="false">IF(Y46="","","Indicacao|"&amp;Y46)</f>
        <v/>
      </c>
      <c r="AA46" s="10" t="str">
        <f aca="false">IF(I46="","",TEXT(I46,"mm/yyyy"))</f>
        <v>08/2026</v>
      </c>
    </row>
    <row r="47" customFormat="false" ht="15" hidden="false" customHeight="true" outlineLevel="0" collapsed="false">
      <c r="A47" s="4" t="s">
        <v>165</v>
      </c>
      <c r="B47" s="4" t="s">
        <v>166</v>
      </c>
      <c r="C47" s="4" t="s">
        <v>167</v>
      </c>
      <c r="D47" s="4" t="s">
        <v>29</v>
      </c>
      <c r="E47" s="4" t="s">
        <v>168</v>
      </c>
      <c r="F47" s="4" t="s">
        <v>39</v>
      </c>
      <c r="G47" s="15" t="n">
        <v>46258</v>
      </c>
      <c r="H47" s="6" t="s">
        <v>32</v>
      </c>
      <c r="I47" s="15" t="n">
        <v>46261</v>
      </c>
      <c r="J47" s="6" t="s">
        <v>32</v>
      </c>
      <c r="K47" s="6"/>
      <c r="L47" s="6"/>
      <c r="M47" s="7"/>
      <c r="N47" s="6"/>
      <c r="O47" s="7"/>
      <c r="P47" s="8"/>
      <c r="Q47" s="4"/>
      <c r="R47" s="9" t="str">
        <f aca="false">IF(N47="Sim","Fechado (Total)",IF(N47="Parcial","Fechado (Parcial)",IF(N47="Não","Perdido",IF(N47="Pendente","Pendente",IF(N47="Não precisa no momento","Não Precisa no Momento",IF(L47="Sim","Plano de Tratamento",IF(J47="Não","Não Compareceu",IF(J47="Sim","Compareceu",IF(H47="Não","Perdido",IF(H47="Sim","Consulta Marcada",IF(A47="","","Novo Paciente")))))))))))</f>
        <v>Compareceu</v>
      </c>
      <c r="S47" s="4"/>
      <c r="T47" s="10" t="n">
        <f aca="false">IF(A47="","",SUMPRODUCT(($R$2:R47=R47)*($A$2:A47&lt;&gt;"")))</f>
        <v>8</v>
      </c>
      <c r="U47" s="10" t="str">
        <f aca="false">IF(A47="","",R47&amp;"|"&amp;T47)</f>
        <v>Compareceu|8</v>
      </c>
      <c r="V47" s="10" t="str">
        <f aca="false">IF(G47="","",TEXT(G47,"mm/yyyy"))</f>
        <v>08/2026</v>
      </c>
      <c r="W47" s="10" t="str">
        <f aca="false">IF(P47="","",TEXT(P47,"mm/yyyy"))</f>
        <v/>
      </c>
      <c r="X47" s="10" t="str">
        <f aca="false">IF(A47="","",IF(OR(R47="Fechado (Total)",R47="Fechado (Parcial)"),"Fechado|"&amp;SUMPRODUCT((($R$2:R47="Fechado (Total)")+($R$2:R47="Fechado (Parcial)"))*($A$2:A47&lt;&gt;"")),""))</f>
        <v/>
      </c>
      <c r="Y47" s="10" t="n">
        <f aca="false">IF(A47="","",IF(D47="Indicação",SUMPRODUCT(($D$2:D47="Indicação")*($A$2:A47&lt;&gt;"")),""))</f>
        <v>32</v>
      </c>
      <c r="Z47" s="10" t="str">
        <f aca="false">IF(Y47="","","Indicacao|"&amp;Y47)</f>
        <v>Indicacao|32</v>
      </c>
      <c r="AA47" s="10" t="str">
        <f aca="false">IF(I47="","",TEXT(I47,"mm/yyyy"))</f>
        <v>08/2026</v>
      </c>
    </row>
    <row r="48" customFormat="false" ht="15" hidden="false" customHeight="true" outlineLevel="0" collapsed="false">
      <c r="A48" s="4" t="s">
        <v>169</v>
      </c>
      <c r="B48" s="4" t="s">
        <v>170</v>
      </c>
      <c r="C48" s="4"/>
      <c r="D48" s="4" t="s">
        <v>29</v>
      </c>
      <c r="E48" s="4" t="s">
        <v>93</v>
      </c>
      <c r="F48" s="4" t="s">
        <v>39</v>
      </c>
      <c r="G48" s="15" t="n">
        <v>46258</v>
      </c>
      <c r="H48" s="6"/>
      <c r="I48" s="8"/>
      <c r="J48" s="6"/>
      <c r="K48" s="6"/>
      <c r="L48" s="6"/>
      <c r="M48" s="7"/>
      <c r="N48" s="6"/>
      <c r="O48" s="7"/>
      <c r="P48" s="8"/>
      <c r="Q48" s="4"/>
      <c r="R48" s="9" t="str">
        <f aca="false">IF(N48="Sim","Fechado (Total)",IF(N48="Parcial","Fechado (Parcial)",IF(N48="Não","Perdido",IF(N48="Pendente","Pendente",IF(N48="Não precisa no momento","Não Precisa no Momento",IF(L48="Sim","Plano de Tratamento",IF(J48="Não","Não Compareceu",IF(J48="Sim","Compareceu",IF(H48="Não","Perdido",IF(H48="Sim","Consulta Marcada",IF(A48="","","Novo Paciente")))))))))))</f>
        <v>Novo Paciente</v>
      </c>
      <c r="S48" s="4"/>
      <c r="T48" s="10" t="n">
        <f aca="false">IF(A48="","",SUMPRODUCT(($R$2:R48=R48)*($A$2:A48&lt;&gt;"")))</f>
        <v>2</v>
      </c>
      <c r="U48" s="10" t="str">
        <f aca="false">IF(A48="","",R48&amp;"|"&amp;T48)</f>
        <v>Novo Paciente|2</v>
      </c>
      <c r="V48" s="10" t="str">
        <f aca="false">IF(G48="","",TEXT(G48,"mm/yyyy"))</f>
        <v>08/2026</v>
      </c>
      <c r="W48" s="10" t="str">
        <f aca="false">IF(P48="","",TEXT(P48,"mm/yyyy"))</f>
        <v/>
      </c>
      <c r="X48" s="10" t="str">
        <f aca="false">IF(A48="","",IF(OR(R48="Fechado (Total)",R48="Fechado (Parcial)"),"Fechado|"&amp;SUMPRODUCT((($R$2:R48="Fechado (Total)")+($R$2:R48="Fechado (Parcial)"))*($A$2:A48&lt;&gt;"")),""))</f>
        <v/>
      </c>
      <c r="Y48" s="10" t="n">
        <f aca="false">IF(A48="","",IF(D48="Indicação",SUMPRODUCT(($D$2:D48="Indicação")*($A$2:A48&lt;&gt;"")),""))</f>
        <v>33</v>
      </c>
      <c r="Z48" s="10" t="str">
        <f aca="false">IF(Y48="","","Indicacao|"&amp;Y48)</f>
        <v>Indicacao|33</v>
      </c>
      <c r="AA48" s="10" t="str">
        <f aca="false">IF(I48="","",TEXT(I48,"mm/yyyy"))</f>
        <v/>
      </c>
    </row>
    <row r="49" customFormat="false" ht="15" hidden="false" customHeight="true" outlineLevel="0" collapsed="false">
      <c r="A49" s="4" t="s">
        <v>171</v>
      </c>
      <c r="B49" s="4" t="s">
        <v>172</v>
      </c>
      <c r="C49" s="4"/>
      <c r="D49" s="4" t="s">
        <v>173</v>
      </c>
      <c r="E49" s="4" t="s">
        <v>174</v>
      </c>
      <c r="F49" s="4" t="s">
        <v>39</v>
      </c>
      <c r="G49" s="15" t="n">
        <v>46258</v>
      </c>
      <c r="H49" s="6"/>
      <c r="I49" s="8"/>
      <c r="J49" s="6"/>
      <c r="K49" s="6"/>
      <c r="L49" s="6"/>
      <c r="M49" s="7"/>
      <c r="N49" s="6"/>
      <c r="O49" s="7"/>
      <c r="P49" s="8"/>
      <c r="Q49" s="4"/>
      <c r="R49" s="9" t="str">
        <f aca="false">IF(N49="Sim","Fechado (Total)",IF(N49="Parcial","Fechado (Parcial)",IF(N49="Não","Perdido",IF(N49="Pendente","Pendente",IF(N49="Não precisa no momento","Não Precisa no Momento",IF(L49="Sim","Plano de Tratamento",IF(J49="Não","Não Compareceu",IF(J49="Sim","Compareceu",IF(H49="Não","Perdido",IF(H49="Sim","Consulta Marcada",IF(A49="","","Novo Paciente")))))))))))</f>
        <v>Novo Paciente</v>
      </c>
      <c r="S49" s="4"/>
      <c r="T49" s="10" t="n">
        <f aca="false">IF(A49="","",SUMPRODUCT(($R$2:R49=R49)*($A$2:A49&lt;&gt;"")))</f>
        <v>3</v>
      </c>
      <c r="U49" s="10" t="str">
        <f aca="false">IF(A49="","",R49&amp;"|"&amp;T49)</f>
        <v>Novo Paciente|3</v>
      </c>
      <c r="V49" s="10" t="str">
        <f aca="false">IF(G49="","",TEXT(G49,"mm/yyyy"))</f>
        <v>08/2026</v>
      </c>
      <c r="W49" s="10" t="str">
        <f aca="false">IF(P49="","",TEXT(P49,"mm/yyyy"))</f>
        <v/>
      </c>
      <c r="X49" s="10" t="str">
        <f aca="false">IF(A49="","",IF(OR(R49="Fechado (Total)",R49="Fechado (Parcial)"),"Fechado|"&amp;SUMPRODUCT((($R$2:R49="Fechado (Total)")+($R$2:R49="Fechado (Parcial)"))*($A$2:A49&lt;&gt;"")),""))</f>
        <v/>
      </c>
      <c r="Y49" s="10" t="str">
        <f aca="false">IF(A49="","",IF(D49="Indicação",SUMPRODUCT(($D$2:D49="Indicação")*($A$2:A49&lt;&gt;"")),""))</f>
        <v/>
      </c>
      <c r="Z49" s="10" t="str">
        <f aca="false">IF(Y49="","","Indicacao|"&amp;Y49)</f>
        <v/>
      </c>
      <c r="AA49" s="10" t="str">
        <f aca="false">IF(I49="","",TEXT(I49,"mm/yyyy"))</f>
        <v/>
      </c>
    </row>
    <row r="50" customFormat="false" ht="15" hidden="false" customHeight="true" outlineLevel="0" collapsed="false">
      <c r="A50" s="4" t="s">
        <v>175</v>
      </c>
      <c r="B50" s="4" t="s">
        <v>176</v>
      </c>
      <c r="C50" s="4" t="s">
        <v>177</v>
      </c>
      <c r="D50" s="4" t="s">
        <v>29</v>
      </c>
      <c r="E50" s="4" t="s">
        <v>174</v>
      </c>
      <c r="F50" s="4" t="s">
        <v>39</v>
      </c>
      <c r="G50" s="15" t="n">
        <v>46261</v>
      </c>
      <c r="H50" s="6" t="s">
        <v>32</v>
      </c>
      <c r="I50" s="8" t="n">
        <v>46266</v>
      </c>
      <c r="J50" s="6" t="s">
        <v>32</v>
      </c>
      <c r="K50" s="6" t="s">
        <v>32</v>
      </c>
      <c r="L50" s="6"/>
      <c r="M50" s="7"/>
      <c r="N50" s="6"/>
      <c r="O50" s="7"/>
      <c r="P50" s="8"/>
      <c r="Q50" s="4"/>
      <c r="R50" s="9" t="str">
        <f aca="false">IF(N50="Sim","Fechado (Total)",IF(N50="Parcial","Fechado (Parcial)",IF(N50="Não","Perdido",IF(N50="Pendente","Pendente",IF(N50="Não precisa no momento","Não Precisa no Momento",IF(L50="Sim","Plano de Tratamento",IF(J50="Não","Não Compareceu",IF(J50="Sim","Compareceu",IF(H50="Não","Perdido",IF(H50="Sim","Consulta Marcada",IF(A50="","","Novo Paciente")))))))))))</f>
        <v>Compareceu</v>
      </c>
      <c r="S50" s="4"/>
      <c r="T50" s="10" t="n">
        <f aca="false">IF(A50="","",SUMPRODUCT(($R$2:R50=R50)*($A$2:A50&lt;&gt;"")))</f>
        <v>9</v>
      </c>
      <c r="U50" s="10" t="str">
        <f aca="false">IF(A50="","",R50&amp;"|"&amp;T50)</f>
        <v>Compareceu|9</v>
      </c>
      <c r="V50" s="10" t="str">
        <f aca="false">IF(G50="","",TEXT(G50,"mm/yyyy"))</f>
        <v>08/2026</v>
      </c>
      <c r="W50" s="10" t="str">
        <f aca="false">IF(P50="","",TEXT(P50,"mm/yyyy"))</f>
        <v/>
      </c>
      <c r="X50" s="10" t="str">
        <f aca="false">IF(A50="","",IF(OR(R50="Fechado (Total)",R50="Fechado (Parcial)"),"Fechado|"&amp;SUMPRODUCT((($R$2:R50="Fechado (Total)")+($R$2:R50="Fechado (Parcial)"))*($A$2:A50&lt;&gt;"")),""))</f>
        <v/>
      </c>
      <c r="Y50" s="10" t="n">
        <f aca="false">IF(A50="","",IF(D50="Indicação",SUMPRODUCT(($D$2:D50="Indicação")*($A$2:A50&lt;&gt;"")),""))</f>
        <v>34</v>
      </c>
      <c r="Z50" s="10" t="str">
        <f aca="false">IF(Y50="","","Indicacao|"&amp;Y50)</f>
        <v>Indicacao|34</v>
      </c>
      <c r="AA50" s="10" t="str">
        <f aca="false">IF(I50="","",TEXT(I50,"mm/yyyy"))</f>
        <v>09/2026</v>
      </c>
    </row>
    <row r="51" customFormat="false" ht="15" hidden="false" customHeight="true" outlineLevel="0" collapsed="false">
      <c r="A51" s="4" t="s">
        <v>178</v>
      </c>
      <c r="B51" s="4"/>
      <c r="C51" s="4"/>
      <c r="D51" s="4" t="s">
        <v>29</v>
      </c>
      <c r="E51" s="4" t="s">
        <v>179</v>
      </c>
      <c r="F51" s="4" t="s">
        <v>31</v>
      </c>
      <c r="G51" s="8"/>
      <c r="H51" s="6" t="s">
        <v>32</v>
      </c>
      <c r="I51" s="8" t="n">
        <v>46265</v>
      </c>
      <c r="J51" s="6" t="s">
        <v>32</v>
      </c>
      <c r="K51" s="6" t="s">
        <v>32</v>
      </c>
      <c r="L51" s="6" t="s">
        <v>33</v>
      </c>
      <c r="M51" s="7" t="n">
        <v>15800</v>
      </c>
      <c r="N51" s="6"/>
      <c r="O51" s="7"/>
      <c r="P51" s="8"/>
      <c r="Q51" s="4"/>
      <c r="R51" s="9" t="str">
        <f aca="false">IF(N51="Sim","Fechado (Total)",IF(N51="Parcial","Fechado (Parcial)",IF(N51="Não","Perdido",IF(N51="Pendente","Pendente",IF(N51="Não precisa no momento","Não Precisa no Momento",IF(L51="Sim","Plano de Tratamento",IF(J51="Não","Não Compareceu",IF(J51="Sim","Compareceu",IF(H51="Não","Perdido",IF(H51="Sim","Consulta Marcada",IF(A51="","","Novo Paciente")))))))))))</f>
        <v>Compareceu</v>
      </c>
      <c r="S51" s="4"/>
      <c r="T51" s="10" t="n">
        <f aca="false">IF(A51="","",SUMPRODUCT(($R$2:R51=R51)*($A$2:A51&lt;&gt;"")))</f>
        <v>10</v>
      </c>
      <c r="U51" s="10" t="str">
        <f aca="false">IF(A51="","",R51&amp;"|"&amp;T51)</f>
        <v>Compareceu|10</v>
      </c>
      <c r="V51" s="10" t="str">
        <f aca="false">IF(G51="","",TEXT(G51,"mm/yyyy"))</f>
        <v/>
      </c>
      <c r="W51" s="10" t="str">
        <f aca="false">IF(P51="","",TEXT(P51,"mm/yyyy"))</f>
        <v/>
      </c>
      <c r="X51" s="10" t="str">
        <f aca="false">IF(A51="","",IF(OR(R51="Fechado (Total)",R51="Fechado (Parcial)"),"Fechado|"&amp;SUMPRODUCT((($R$2:R51="Fechado (Total)")+($R$2:R51="Fechado (Parcial)"))*($A$2:A51&lt;&gt;"")),""))</f>
        <v/>
      </c>
      <c r="Y51" s="10" t="n">
        <f aca="false">IF(A51="","",IF(D51="Indicação",SUMPRODUCT(($D$2:D51="Indicação")*($A$2:A51&lt;&gt;"")),""))</f>
        <v>35</v>
      </c>
      <c r="Z51" s="10" t="str">
        <f aca="false">IF(Y51="","","Indicacao|"&amp;Y51)</f>
        <v>Indicacao|35</v>
      </c>
      <c r="AA51" s="10" t="str">
        <f aca="false">IF(I51="","",TEXT(I51,"mm/yyyy"))</f>
        <v>08/2026</v>
      </c>
    </row>
    <row r="52" customFormat="false" ht="15" hidden="false" customHeight="true" outlineLevel="0" collapsed="false">
      <c r="A52" s="4" t="s">
        <v>180</v>
      </c>
      <c r="B52" s="4"/>
      <c r="C52" s="4"/>
      <c r="D52" s="4" t="s">
        <v>29</v>
      </c>
      <c r="E52" s="4"/>
      <c r="F52" s="4" t="s">
        <v>181</v>
      </c>
      <c r="G52" s="8"/>
      <c r="H52" s="6"/>
      <c r="I52" s="8"/>
      <c r="J52" s="6"/>
      <c r="K52" s="6"/>
      <c r="L52" s="6"/>
      <c r="M52" s="7"/>
      <c r="N52" s="6"/>
      <c r="O52" s="7"/>
      <c r="P52" s="8"/>
      <c r="Q52" s="4"/>
      <c r="R52" s="9" t="str">
        <f aca="false">IF(N52="Sim","Fechado (Total)",IF(N52="Parcial","Fechado (Parcial)",IF(N52="Não","Perdido",IF(N52="Pendente","Pendente",IF(N52="Não precisa no momento","Não Precisa no Momento",IF(L52="Sim","Plano de Tratamento",IF(J52="Não","Não Compareceu",IF(J52="Sim","Compareceu",IF(H52="Não","Perdido",IF(H52="Sim","Consulta Marcada",IF(A52="","","Novo Paciente")))))))))))</f>
        <v>Novo Paciente</v>
      </c>
      <c r="S52" s="4"/>
      <c r="T52" s="10" t="n">
        <f aca="false">IF(A52="","",SUMPRODUCT(($R$2:R52=R52)*($A$2:A52&lt;&gt;"")))</f>
        <v>4</v>
      </c>
      <c r="U52" s="10" t="str">
        <f aca="false">IF(A52="","",R52&amp;"|"&amp;T52)</f>
        <v>Novo Paciente|4</v>
      </c>
      <c r="V52" s="10" t="str">
        <f aca="false">IF(G52="","",TEXT(G52,"mm/yyyy"))</f>
        <v/>
      </c>
      <c r="W52" s="10" t="str">
        <f aca="false">IF(P52="","",TEXT(P52,"mm/yyyy"))</f>
        <v/>
      </c>
      <c r="X52" s="10" t="str">
        <f aca="false">IF(A52="","",IF(OR(R52="Fechado (Total)",R52="Fechado (Parcial)"),"Fechado|"&amp;SUMPRODUCT((($R$2:R52="Fechado (Total)")+($R$2:R52="Fechado (Parcial)"))*($A$2:A52&lt;&gt;"")),""))</f>
        <v/>
      </c>
      <c r="Y52" s="10" t="n">
        <f aca="false">IF(A52="","",IF(D52="Indicação",SUMPRODUCT(($D$2:D52="Indicação")*($A$2:A52&lt;&gt;"")),""))</f>
        <v>36</v>
      </c>
      <c r="Z52" s="10" t="str">
        <f aca="false">IF(Y52="","","Indicacao|"&amp;Y52)</f>
        <v>Indicacao|36</v>
      </c>
      <c r="AA52" s="10" t="str">
        <f aca="false">IF(I52="","",TEXT(I52,"mm/yyyy"))</f>
        <v/>
      </c>
    </row>
    <row r="53" customFormat="false" ht="15" hidden="false" customHeight="true" outlineLevel="0" collapsed="false">
      <c r="A53" s="4" t="s">
        <v>182</v>
      </c>
      <c r="B53" s="4" t="s">
        <v>148</v>
      </c>
      <c r="C53" s="4" t="s">
        <v>149</v>
      </c>
      <c r="D53" s="4" t="s">
        <v>29</v>
      </c>
      <c r="E53" s="4" t="s">
        <v>183</v>
      </c>
      <c r="F53" s="4" t="s">
        <v>31</v>
      </c>
      <c r="G53" s="15" t="n">
        <v>46247</v>
      </c>
      <c r="H53" s="6" t="s">
        <v>32</v>
      </c>
      <c r="I53" s="8" t="n">
        <v>46267</v>
      </c>
      <c r="J53" s="6" t="s">
        <v>32</v>
      </c>
      <c r="K53" s="6"/>
      <c r="L53" s="6"/>
      <c r="M53" s="7"/>
      <c r="N53" s="6"/>
      <c r="O53" s="7"/>
      <c r="P53" s="8"/>
      <c r="Q53" s="4"/>
      <c r="R53" s="9" t="str">
        <f aca="false">IF(N53="Sim","Fechado (Total)",IF(N53="Parcial","Fechado (Parcial)",IF(N53="Não","Perdido",IF(N53="Pendente","Pendente",IF(N53="Não precisa no momento","Não Precisa no Momento",IF(L53="Sim","Plano de Tratamento",IF(J53="Não","Não Compareceu",IF(J53="Sim","Compareceu",IF(H53="Não","Perdido",IF(H53="Sim","Consulta Marcada",IF(A53="","","Novo Paciente")))))))))))</f>
        <v>Compareceu</v>
      </c>
      <c r="S53" s="4"/>
      <c r="T53" s="10" t="n">
        <f aca="false">IF(A53="","",SUMPRODUCT(($R$2:R53=R53)*($A$2:A53&lt;&gt;"")))</f>
        <v>11</v>
      </c>
      <c r="U53" s="10" t="str">
        <f aca="false">IF(A53="","",R53&amp;"|"&amp;T53)</f>
        <v>Compareceu|11</v>
      </c>
      <c r="V53" s="10" t="str">
        <f aca="false">IF(G53="","",TEXT(G53,"mm/yyyy"))</f>
        <v>08/2026</v>
      </c>
      <c r="W53" s="10" t="str">
        <f aca="false">IF(P53="","",TEXT(P53,"mm/yyyy"))</f>
        <v/>
      </c>
      <c r="X53" s="10" t="str">
        <f aca="false">IF(A53="","",IF(OR(R53="Fechado (Total)",R53="Fechado (Parcial)"),"Fechado|"&amp;SUMPRODUCT((($R$2:R53="Fechado (Total)")+($R$2:R53="Fechado (Parcial)"))*($A$2:A53&lt;&gt;"")),""))</f>
        <v/>
      </c>
      <c r="Y53" s="10" t="n">
        <f aca="false">IF(A53="","",IF(D53="Indicação",SUMPRODUCT(($D$2:D53="Indicação")*($A$2:A53&lt;&gt;"")),""))</f>
        <v>37</v>
      </c>
      <c r="Z53" s="10" t="str">
        <f aca="false">IF(Y53="","","Indicacao|"&amp;Y53)</f>
        <v>Indicacao|37</v>
      </c>
      <c r="AA53" s="10" t="str">
        <f aca="false">IF(I53="","",TEXT(I53,"mm/yyyy"))</f>
        <v>09/2026</v>
      </c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8"/>
      <c r="H54" s="6"/>
      <c r="I54" s="8"/>
      <c r="J54" s="6"/>
      <c r="K54" s="6"/>
      <c r="L54" s="6"/>
      <c r="M54" s="7"/>
      <c r="N54" s="6"/>
      <c r="O54" s="7"/>
      <c r="P54" s="8"/>
      <c r="Q54" s="4"/>
      <c r="R54" s="9" t="str">
        <f aca="false">IF(N54="Sim","Fechado (Total)",IF(N54="Parcial","Fechado (Parcial)",IF(N54="Não","Perdido",IF(N54="Pendente","Pendente",IF(N54="Não precisa no momento","Não Precisa no Momento",IF(L54="Sim","Plano de Tratamento",IF(J54="Não","Não Compareceu",IF(J54="Sim","Compareceu",IF(H54="Não","Perdido",IF(H54="Sim","Consulta Marcada",IF(A54="","","Novo Paciente")))))))))))</f>
        <v/>
      </c>
      <c r="S54" s="4"/>
      <c r="T54" s="10" t="str">
        <f aca="false">IF(A54="","",SUMPRODUCT(($R$2:R54=R54)*($A$2:A54&lt;&gt;"")))</f>
        <v/>
      </c>
      <c r="U54" s="10" t="str">
        <f aca="false">IF(A54="","",R54&amp;"|"&amp;T54)</f>
        <v/>
      </c>
      <c r="V54" s="10" t="str">
        <f aca="false">IF(G54="","",TEXT(G54,"mm/yyyy"))</f>
        <v/>
      </c>
      <c r="W54" s="10" t="str">
        <f aca="false">IF(P54="","",TEXT(P54,"mm/yyyy"))</f>
        <v/>
      </c>
      <c r="X54" s="10" t="str">
        <f aca="false">IF(A54="","",IF(OR(R54="Fechado (Total)",R54="Fechado (Parcial)"),"Fechado|"&amp;SUMPRODUCT((($R$2:R54="Fechado (Total)")+($R$2:R54="Fechado (Parcial)"))*($A$2:A54&lt;&gt;"")),""))</f>
        <v/>
      </c>
      <c r="Y54" s="10" t="str">
        <f aca="false">IF(A54="","",IF(D54="Indicação",SUMPRODUCT(($D$2:D54="Indicação")*($A$2:A54&lt;&gt;"")),""))</f>
        <v/>
      </c>
      <c r="Z54" s="10" t="str">
        <f aca="false">IF(Y54="","","Indicacao|"&amp;Y54)</f>
        <v/>
      </c>
      <c r="AA54" s="10" t="str">
        <f aca="false">IF(I54="","",TEXT(I54,"mm/yyyy"))</f>
        <v/>
      </c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8"/>
      <c r="H55" s="6"/>
      <c r="I55" s="8"/>
      <c r="J55" s="6"/>
      <c r="K55" s="6"/>
      <c r="L55" s="6"/>
      <c r="M55" s="7"/>
      <c r="N55" s="6"/>
      <c r="O55" s="7"/>
      <c r="P55" s="8"/>
      <c r="Q55" s="4"/>
      <c r="R55" s="9" t="str">
        <f aca="false">IF(N55="Sim","Fechado (Total)",IF(N55="Parcial","Fechado (Parcial)",IF(N55="Não","Perdido",IF(N55="Pendente","Pendente",IF(N55="Não precisa no momento","Não Precisa no Momento",IF(L55="Sim","Plano de Tratamento",IF(J55="Não","Não Compareceu",IF(J55="Sim","Compareceu",IF(H55="Não","Perdido",IF(H55="Sim","Consulta Marcada",IF(A55="","","Novo Paciente")))))))))))</f>
        <v/>
      </c>
      <c r="S55" s="4"/>
      <c r="T55" s="10" t="str">
        <f aca="false">IF(A55="","",SUMPRODUCT(($R$2:R55=R55)*($A$2:A55&lt;&gt;"")))</f>
        <v/>
      </c>
      <c r="U55" s="10" t="str">
        <f aca="false">IF(A55="","",R55&amp;"|"&amp;T55)</f>
        <v/>
      </c>
      <c r="V55" s="10" t="str">
        <f aca="false">IF(G55="","",TEXT(G55,"mm/yyyy"))</f>
        <v/>
      </c>
      <c r="W55" s="10" t="str">
        <f aca="false">IF(P55="","",TEXT(P55,"mm/yyyy"))</f>
        <v/>
      </c>
      <c r="X55" s="10" t="str">
        <f aca="false">IF(A55="","",IF(OR(R55="Fechado (Total)",R55="Fechado (Parcial)"),"Fechado|"&amp;SUMPRODUCT((($R$2:R55="Fechado (Total)")+($R$2:R55="Fechado (Parcial)"))*($A$2:A55&lt;&gt;"")),""))</f>
        <v/>
      </c>
      <c r="Y55" s="10" t="str">
        <f aca="false">IF(A55="","",IF(D55="Indicação",SUMPRODUCT(($D$2:D55="Indicação")*($A$2:A55&lt;&gt;"")),""))</f>
        <v/>
      </c>
      <c r="Z55" s="10" t="str">
        <f aca="false">IF(Y55="","","Indicacao|"&amp;Y55)</f>
        <v/>
      </c>
      <c r="AA55" s="10" t="str">
        <f aca="false">IF(I55="","",TEXT(I55,"mm/yyyy"))</f>
        <v/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8"/>
      <c r="H56" s="6"/>
      <c r="I56" s="8"/>
      <c r="J56" s="6"/>
      <c r="K56" s="6"/>
      <c r="L56" s="6"/>
      <c r="M56" s="7"/>
      <c r="N56" s="6"/>
      <c r="O56" s="7"/>
      <c r="P56" s="8"/>
      <c r="Q56" s="4"/>
      <c r="R56" s="9" t="str">
        <f aca="false">IF(N56="Sim","Fechado (Total)",IF(N56="Parcial","Fechado (Parcial)",IF(N56="Não","Perdido",IF(N56="Pendente","Pendente",IF(N56="Não precisa no momento","Não Precisa no Momento",IF(L56="Sim","Plano de Tratamento",IF(J56="Não","Não Compareceu",IF(J56="Sim","Compareceu",IF(H56="Não","Perdido",IF(H56="Sim","Consulta Marcada",IF(A56="","","Novo Paciente")))))))))))</f>
        <v/>
      </c>
      <c r="S56" s="4"/>
      <c r="T56" s="10" t="str">
        <f aca="false">IF(A56="","",SUMPRODUCT(($R$2:R56=R56)*($A$2:A56&lt;&gt;"")))</f>
        <v/>
      </c>
      <c r="U56" s="10" t="str">
        <f aca="false">IF(A56="","",R56&amp;"|"&amp;T56)</f>
        <v/>
      </c>
      <c r="V56" s="10" t="str">
        <f aca="false">IF(G56="","",TEXT(G56,"mm/yyyy"))</f>
        <v/>
      </c>
      <c r="W56" s="10" t="str">
        <f aca="false">IF(P56="","",TEXT(P56,"mm/yyyy"))</f>
        <v/>
      </c>
      <c r="X56" s="10" t="str">
        <f aca="false">IF(A56="","",IF(OR(R56="Fechado (Total)",R56="Fechado (Parcial)"),"Fechado|"&amp;SUMPRODUCT((($R$2:R56="Fechado (Total)")+($R$2:R56="Fechado (Parcial)"))*($A$2:A56&lt;&gt;"")),""))</f>
        <v/>
      </c>
      <c r="Y56" s="10" t="str">
        <f aca="false">IF(A56="","",IF(D56="Indicação",SUMPRODUCT(($D$2:D56="Indicação")*($A$2:A56&lt;&gt;"")),""))</f>
        <v/>
      </c>
      <c r="Z56" s="10" t="str">
        <f aca="false">IF(Y56="","","Indicacao|"&amp;Y56)</f>
        <v/>
      </c>
      <c r="AA56" s="10" t="str">
        <f aca="false">IF(I56="","",TEXT(I56,"mm/yyyy"))</f>
        <v/>
      </c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8"/>
      <c r="H57" s="6"/>
      <c r="I57" s="8"/>
      <c r="J57" s="6"/>
      <c r="K57" s="6"/>
      <c r="L57" s="6"/>
      <c r="M57" s="7"/>
      <c r="N57" s="6"/>
      <c r="O57" s="7"/>
      <c r="P57" s="8"/>
      <c r="Q57" s="4"/>
      <c r="R57" s="9" t="str">
        <f aca="false">IF(N57="Sim","Fechado (Total)",IF(N57="Parcial","Fechado (Parcial)",IF(N57="Não","Perdido",IF(N57="Pendente","Pendente",IF(N57="Não precisa no momento","Não Precisa no Momento",IF(L57="Sim","Plano de Tratamento",IF(J57="Não","Não Compareceu",IF(J57="Sim","Compareceu",IF(H57="Não","Perdido",IF(H57="Sim","Consulta Marcada",IF(A57="","","Novo Paciente")))))))))))</f>
        <v/>
      </c>
      <c r="S57" s="4"/>
      <c r="T57" s="10" t="str">
        <f aca="false">IF(A57="","",SUMPRODUCT(($R$2:R57=R57)*($A$2:A57&lt;&gt;"")))</f>
        <v/>
      </c>
      <c r="U57" s="10" t="str">
        <f aca="false">IF(A57="","",R57&amp;"|"&amp;T57)</f>
        <v/>
      </c>
      <c r="V57" s="10" t="str">
        <f aca="false">IF(G57="","",TEXT(G57,"mm/yyyy"))</f>
        <v/>
      </c>
      <c r="W57" s="10" t="str">
        <f aca="false">IF(P57="","",TEXT(P57,"mm/yyyy"))</f>
        <v/>
      </c>
      <c r="X57" s="10" t="str">
        <f aca="false">IF(A57="","",IF(OR(R57="Fechado (Total)",R57="Fechado (Parcial)"),"Fechado|"&amp;SUMPRODUCT((($R$2:R57="Fechado (Total)")+($R$2:R57="Fechado (Parcial)"))*($A$2:A57&lt;&gt;"")),""))</f>
        <v/>
      </c>
      <c r="Y57" s="10" t="str">
        <f aca="false">IF(A57="","",IF(D57="Indicação",SUMPRODUCT(($D$2:D57="Indicação")*($A$2:A57&lt;&gt;"")),""))</f>
        <v/>
      </c>
      <c r="Z57" s="10" t="str">
        <f aca="false">IF(Y57="","","Indicacao|"&amp;Y57)</f>
        <v/>
      </c>
      <c r="AA57" s="10" t="str">
        <f aca="false">IF(I57="","",TEXT(I57,"mm/yyyy"))</f>
        <v/>
      </c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8"/>
      <c r="H58" s="6"/>
      <c r="I58" s="8"/>
      <c r="J58" s="6"/>
      <c r="K58" s="6"/>
      <c r="L58" s="6"/>
      <c r="M58" s="7"/>
      <c r="N58" s="6"/>
      <c r="O58" s="7"/>
      <c r="P58" s="8"/>
      <c r="Q58" s="4"/>
      <c r="R58" s="9" t="str">
        <f aca="false">IF(N58="Sim","Fechado (Total)",IF(N58="Parcial","Fechado (Parcial)",IF(N58="Não","Perdido",IF(N58="Pendente","Pendente",IF(N58="Não precisa no momento","Não Precisa no Momento",IF(L58="Sim","Plano de Tratamento",IF(J58="Não","Não Compareceu",IF(J58="Sim","Compareceu",IF(H58="Não","Perdido",IF(H58="Sim","Consulta Marcada",IF(A58="","","Novo Paciente")))))))))))</f>
        <v/>
      </c>
      <c r="S58" s="4"/>
      <c r="T58" s="10" t="str">
        <f aca="false">IF(A58="","",SUMPRODUCT(($R$2:R58=R58)*($A$2:A58&lt;&gt;"")))</f>
        <v/>
      </c>
      <c r="U58" s="10" t="str">
        <f aca="false">IF(A58="","",R58&amp;"|"&amp;T58)</f>
        <v/>
      </c>
      <c r="V58" s="10" t="str">
        <f aca="false">IF(G58="","",TEXT(G58,"mm/yyyy"))</f>
        <v/>
      </c>
      <c r="W58" s="10" t="str">
        <f aca="false">IF(P58="","",TEXT(P58,"mm/yyyy"))</f>
        <v/>
      </c>
      <c r="X58" s="10" t="str">
        <f aca="false">IF(A58="","",IF(OR(R58="Fechado (Total)",R58="Fechado (Parcial)"),"Fechado|"&amp;SUMPRODUCT((($R$2:R58="Fechado (Total)")+($R$2:R58="Fechado (Parcial)"))*($A$2:A58&lt;&gt;"")),""))</f>
        <v/>
      </c>
      <c r="Y58" s="10" t="str">
        <f aca="false">IF(A58="","",IF(D58="Indicação",SUMPRODUCT(($D$2:D58="Indicação")*($A$2:A58&lt;&gt;"")),""))</f>
        <v/>
      </c>
      <c r="Z58" s="10" t="str">
        <f aca="false">IF(Y58="","","Indicacao|"&amp;Y58)</f>
        <v/>
      </c>
      <c r="AA58" s="10" t="str">
        <f aca="false">IF(I58="","",TEXT(I58,"mm/yyyy"))</f>
        <v/>
      </c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8"/>
      <c r="H59" s="6"/>
      <c r="I59" s="8"/>
      <c r="J59" s="6"/>
      <c r="K59" s="6"/>
      <c r="L59" s="6"/>
      <c r="M59" s="7"/>
      <c r="N59" s="6"/>
      <c r="O59" s="7"/>
      <c r="P59" s="8"/>
      <c r="Q59" s="4"/>
      <c r="R59" s="9" t="str">
        <f aca="false">IF(N59="Sim","Fechado (Total)",IF(N59="Parcial","Fechado (Parcial)",IF(N59="Não","Perdido",IF(N59="Pendente","Pendente",IF(N59="Não precisa no momento","Não Precisa no Momento",IF(L59="Sim","Plano de Tratamento",IF(J59="Não","Não Compareceu",IF(J59="Sim","Compareceu",IF(H59="Não","Perdido",IF(H59="Sim","Consulta Marcada",IF(A59="","","Novo Paciente")))))))))))</f>
        <v/>
      </c>
      <c r="S59" s="4"/>
      <c r="T59" s="10" t="str">
        <f aca="false">IF(A59="","",SUMPRODUCT(($R$2:R59=R59)*($A$2:A59&lt;&gt;"")))</f>
        <v/>
      </c>
      <c r="U59" s="10" t="str">
        <f aca="false">IF(A59="","",R59&amp;"|"&amp;T59)</f>
        <v/>
      </c>
      <c r="V59" s="10" t="str">
        <f aca="false">IF(G59="","",TEXT(G59,"mm/yyyy"))</f>
        <v/>
      </c>
      <c r="W59" s="10" t="str">
        <f aca="false">IF(P59="","",TEXT(P59,"mm/yyyy"))</f>
        <v/>
      </c>
      <c r="X59" s="10" t="str">
        <f aca="false">IF(A59="","",IF(OR(R59="Fechado (Total)",R59="Fechado (Parcial)"),"Fechado|"&amp;SUMPRODUCT((($R$2:R59="Fechado (Total)")+($R$2:R59="Fechado (Parcial)"))*($A$2:A59&lt;&gt;"")),""))</f>
        <v/>
      </c>
      <c r="Y59" s="10" t="str">
        <f aca="false">IF(A59="","",IF(D59="Indicação",SUMPRODUCT(($D$2:D59="Indicação")*($A$2:A59&lt;&gt;"")),""))</f>
        <v/>
      </c>
      <c r="Z59" s="10" t="str">
        <f aca="false">IF(Y59="","","Indicacao|"&amp;Y59)</f>
        <v/>
      </c>
      <c r="AA59" s="10" t="str">
        <f aca="false">IF(I59="","",TEXT(I59,"mm/yyyy"))</f>
        <v/>
      </c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8"/>
      <c r="H60" s="6"/>
      <c r="I60" s="8"/>
      <c r="J60" s="6"/>
      <c r="K60" s="6"/>
      <c r="L60" s="6"/>
      <c r="M60" s="7"/>
      <c r="N60" s="6"/>
      <c r="O60" s="7"/>
      <c r="P60" s="8"/>
      <c r="Q60" s="4"/>
      <c r="R60" s="9" t="str">
        <f aca="false">IF(N60="Sim","Fechado (Total)",IF(N60="Parcial","Fechado (Parcial)",IF(N60="Não","Perdido",IF(N60="Pendente","Pendente",IF(N60="Não precisa no momento","Não Precisa no Momento",IF(L60="Sim","Plano de Tratamento",IF(J60="Não","Não Compareceu",IF(J60="Sim","Compareceu",IF(H60="Não","Perdido",IF(H60="Sim","Consulta Marcada",IF(A60="","","Novo Paciente")))))))))))</f>
        <v/>
      </c>
      <c r="S60" s="4"/>
      <c r="T60" s="10" t="str">
        <f aca="false">IF(A60="","",SUMPRODUCT(($R$2:R60=R60)*($A$2:A60&lt;&gt;"")))</f>
        <v/>
      </c>
      <c r="U60" s="10" t="str">
        <f aca="false">IF(A60="","",R60&amp;"|"&amp;T60)</f>
        <v/>
      </c>
      <c r="V60" s="10" t="str">
        <f aca="false">IF(G60="","",TEXT(G60,"mm/yyyy"))</f>
        <v/>
      </c>
      <c r="W60" s="10" t="str">
        <f aca="false">IF(P60="","",TEXT(P60,"mm/yyyy"))</f>
        <v/>
      </c>
      <c r="X60" s="10" t="str">
        <f aca="false">IF(A60="","",IF(OR(R60="Fechado (Total)",R60="Fechado (Parcial)"),"Fechado|"&amp;SUMPRODUCT((($R$2:R60="Fechado (Total)")+($R$2:R60="Fechado (Parcial)"))*($A$2:A60&lt;&gt;"")),""))</f>
        <v/>
      </c>
      <c r="Y60" s="10" t="str">
        <f aca="false">IF(A60="","",IF(D60="Indicação",SUMPRODUCT(($D$2:D60="Indicação")*($A$2:A60&lt;&gt;"")),""))</f>
        <v/>
      </c>
      <c r="Z60" s="10" t="str">
        <f aca="false">IF(Y60="","","Indicacao|"&amp;Y60)</f>
        <v/>
      </c>
      <c r="AA60" s="10" t="str">
        <f aca="false">IF(I60="","",TEXT(I60,"mm/yyyy"))</f>
        <v/>
      </c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8"/>
      <c r="H61" s="6"/>
      <c r="I61" s="8"/>
      <c r="J61" s="6"/>
      <c r="K61" s="6"/>
      <c r="L61" s="6"/>
      <c r="M61" s="7"/>
      <c r="N61" s="6"/>
      <c r="O61" s="7"/>
      <c r="P61" s="8"/>
      <c r="Q61" s="4"/>
      <c r="R61" s="9" t="str">
        <f aca="false">IF(N61="Sim","Fechado (Total)",IF(N61="Parcial","Fechado (Parcial)",IF(N61="Não","Perdido",IF(N61="Pendente","Pendente",IF(N61="Não precisa no momento","Não Precisa no Momento",IF(L61="Sim","Plano de Tratamento",IF(J61="Não","Não Compareceu",IF(J61="Sim","Compareceu",IF(H61="Não","Perdido",IF(H61="Sim","Consulta Marcada",IF(A61="","","Novo Paciente")))))))))))</f>
        <v/>
      </c>
      <c r="S61" s="4"/>
      <c r="T61" s="10" t="str">
        <f aca="false">IF(A61="","",SUMPRODUCT(($R$2:R61=R61)*($A$2:A61&lt;&gt;"")))</f>
        <v/>
      </c>
      <c r="U61" s="10" t="str">
        <f aca="false">IF(A61="","",R61&amp;"|"&amp;T61)</f>
        <v/>
      </c>
      <c r="V61" s="10" t="str">
        <f aca="false">IF(G61="","",TEXT(G61,"mm/yyyy"))</f>
        <v/>
      </c>
      <c r="W61" s="10" t="str">
        <f aca="false">IF(P61="","",TEXT(P61,"mm/yyyy"))</f>
        <v/>
      </c>
      <c r="X61" s="10" t="str">
        <f aca="false">IF(A61="","",IF(OR(R61="Fechado (Total)",R61="Fechado (Parcial)"),"Fechado|"&amp;SUMPRODUCT((($R$2:R61="Fechado (Total)")+($R$2:R61="Fechado (Parcial)"))*($A$2:A61&lt;&gt;"")),""))</f>
        <v/>
      </c>
      <c r="Y61" s="10" t="str">
        <f aca="false">IF(A61="","",IF(D61="Indicação",SUMPRODUCT(($D$2:D61="Indicação")*($A$2:A61&lt;&gt;"")),""))</f>
        <v/>
      </c>
      <c r="Z61" s="10" t="str">
        <f aca="false">IF(Y61="","","Indicacao|"&amp;Y61)</f>
        <v/>
      </c>
      <c r="AA61" s="10" t="str">
        <f aca="false">IF(I61="","",TEXT(I61,"mm/yyyy"))</f>
        <v/>
      </c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8"/>
      <c r="H62" s="6"/>
      <c r="I62" s="8"/>
      <c r="J62" s="6"/>
      <c r="K62" s="6"/>
      <c r="L62" s="6"/>
      <c r="M62" s="7"/>
      <c r="N62" s="6"/>
      <c r="O62" s="7"/>
      <c r="P62" s="8"/>
      <c r="Q62" s="4"/>
      <c r="R62" s="9" t="str">
        <f aca="false">IF(N62="Sim","Fechado (Total)",IF(N62="Parcial","Fechado (Parcial)",IF(N62="Não","Perdido",IF(N62="Pendente","Pendente",IF(N62="Não precisa no momento","Não Precisa no Momento",IF(L62="Sim","Plano de Tratamento",IF(J62="Não","Não Compareceu",IF(J62="Sim","Compareceu",IF(H62="Não","Perdido",IF(H62="Sim","Consulta Marcada",IF(A62="","","Novo Paciente")))))))))))</f>
        <v/>
      </c>
      <c r="S62" s="4"/>
      <c r="T62" s="10" t="str">
        <f aca="false">IF(A62="","",SUMPRODUCT(($R$2:R62=R62)*($A$2:A62&lt;&gt;"")))</f>
        <v/>
      </c>
      <c r="U62" s="10" t="str">
        <f aca="false">IF(A62="","",R62&amp;"|"&amp;T62)</f>
        <v/>
      </c>
      <c r="V62" s="10" t="str">
        <f aca="false">IF(G62="","",TEXT(G62,"mm/yyyy"))</f>
        <v/>
      </c>
      <c r="W62" s="10" t="str">
        <f aca="false">IF(P62="","",TEXT(P62,"mm/yyyy"))</f>
        <v/>
      </c>
      <c r="X62" s="10" t="str">
        <f aca="false">IF(A62="","",IF(OR(R62="Fechado (Total)",R62="Fechado (Parcial)"),"Fechado|"&amp;SUMPRODUCT((($R$2:R62="Fechado (Total)")+($R$2:R62="Fechado (Parcial)"))*($A$2:A62&lt;&gt;"")),""))</f>
        <v/>
      </c>
      <c r="Y62" s="10" t="str">
        <f aca="false">IF(A62="","",IF(D62="Indicação",SUMPRODUCT(($D$2:D62="Indicação")*($A$2:A62&lt;&gt;"")),""))</f>
        <v/>
      </c>
      <c r="Z62" s="10" t="str">
        <f aca="false">IF(Y62="","","Indicacao|"&amp;Y62)</f>
        <v/>
      </c>
      <c r="AA62" s="10" t="str">
        <f aca="false">IF(I62="","",TEXT(I62,"mm/yyyy"))</f>
        <v/>
      </c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8"/>
      <c r="H63" s="6"/>
      <c r="I63" s="8"/>
      <c r="J63" s="6"/>
      <c r="K63" s="6"/>
      <c r="L63" s="6"/>
      <c r="M63" s="7"/>
      <c r="N63" s="6"/>
      <c r="O63" s="7"/>
      <c r="P63" s="8"/>
      <c r="Q63" s="4"/>
      <c r="R63" s="9" t="str">
        <f aca="false">IF(N63="Sim","Fechado (Total)",IF(N63="Parcial","Fechado (Parcial)",IF(N63="Não","Perdido",IF(N63="Pendente","Pendente",IF(N63="Não precisa no momento","Não Precisa no Momento",IF(L63="Sim","Plano de Tratamento",IF(J63="Não","Não Compareceu",IF(J63="Sim","Compareceu",IF(H63="Não","Perdido",IF(H63="Sim","Consulta Marcada",IF(A63="","","Novo Paciente")))))))))))</f>
        <v/>
      </c>
      <c r="S63" s="4"/>
      <c r="T63" s="10" t="str">
        <f aca="false">IF(A63="","",SUMPRODUCT(($R$2:R63=R63)*($A$2:A63&lt;&gt;"")))</f>
        <v/>
      </c>
      <c r="U63" s="10" t="str">
        <f aca="false">IF(A63="","",R63&amp;"|"&amp;T63)</f>
        <v/>
      </c>
      <c r="V63" s="10" t="str">
        <f aca="false">IF(G63="","",TEXT(G63,"mm/yyyy"))</f>
        <v/>
      </c>
      <c r="W63" s="10" t="str">
        <f aca="false">IF(P63="","",TEXT(P63,"mm/yyyy"))</f>
        <v/>
      </c>
      <c r="X63" s="10" t="str">
        <f aca="false">IF(A63="","",IF(OR(R63="Fechado (Total)",R63="Fechado (Parcial)"),"Fechado|"&amp;SUMPRODUCT((($R$2:R63="Fechado (Total)")+($R$2:R63="Fechado (Parcial)"))*($A$2:A63&lt;&gt;"")),""))</f>
        <v/>
      </c>
      <c r="Y63" s="10" t="str">
        <f aca="false">IF(A63="","",IF(D63="Indicação",SUMPRODUCT(($D$2:D63="Indicação")*($A$2:A63&lt;&gt;"")),""))</f>
        <v/>
      </c>
      <c r="Z63" s="10" t="str">
        <f aca="false">IF(Y63="","","Indicacao|"&amp;Y63)</f>
        <v/>
      </c>
      <c r="AA63" s="10" t="str">
        <f aca="false">IF(I63="","",TEXT(I63,"mm/yyyy"))</f>
        <v/>
      </c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8"/>
      <c r="H64" s="6"/>
      <c r="I64" s="8"/>
      <c r="J64" s="6"/>
      <c r="K64" s="6"/>
      <c r="L64" s="6"/>
      <c r="M64" s="7"/>
      <c r="N64" s="6"/>
      <c r="O64" s="7"/>
      <c r="P64" s="8"/>
      <c r="Q64" s="4"/>
      <c r="R64" s="9" t="str">
        <f aca="false">IF(N64="Sim","Fechado (Total)",IF(N64="Parcial","Fechado (Parcial)",IF(N64="Não","Perdido",IF(N64="Pendente","Pendente",IF(N64="Não precisa no momento","Não Precisa no Momento",IF(L64="Sim","Plano de Tratamento",IF(J64="Não","Não Compareceu",IF(J64="Sim","Compareceu",IF(H64="Não","Perdido",IF(H64="Sim","Consulta Marcada",IF(A64="","","Novo Paciente")))))))))))</f>
        <v/>
      </c>
      <c r="S64" s="4"/>
      <c r="T64" s="10" t="str">
        <f aca="false">IF(A64="","",SUMPRODUCT(($R$2:R64=R64)*($A$2:A64&lt;&gt;"")))</f>
        <v/>
      </c>
      <c r="U64" s="10" t="str">
        <f aca="false">IF(A64="","",R64&amp;"|"&amp;T64)</f>
        <v/>
      </c>
      <c r="V64" s="10" t="str">
        <f aca="false">IF(G64="","",TEXT(G64,"mm/yyyy"))</f>
        <v/>
      </c>
      <c r="W64" s="10" t="str">
        <f aca="false">IF(P64="","",TEXT(P64,"mm/yyyy"))</f>
        <v/>
      </c>
      <c r="X64" s="10" t="str">
        <f aca="false">IF(A64="","",IF(OR(R64="Fechado (Total)",R64="Fechado (Parcial)"),"Fechado|"&amp;SUMPRODUCT((($R$2:R64="Fechado (Total)")+($R$2:R64="Fechado (Parcial)"))*($A$2:A64&lt;&gt;"")),""))</f>
        <v/>
      </c>
      <c r="Y64" s="10" t="str">
        <f aca="false">IF(A64="","",IF(D64="Indicação",SUMPRODUCT(($D$2:D64="Indicação")*($A$2:A64&lt;&gt;"")),""))</f>
        <v/>
      </c>
      <c r="Z64" s="10" t="str">
        <f aca="false">IF(Y64="","","Indicacao|"&amp;Y64)</f>
        <v/>
      </c>
      <c r="AA64" s="10" t="str">
        <f aca="false">IF(I64="","",TEXT(I64,"mm/yyyy"))</f>
        <v/>
      </c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8"/>
      <c r="H65" s="6"/>
      <c r="I65" s="8"/>
      <c r="J65" s="6"/>
      <c r="K65" s="6"/>
      <c r="L65" s="6"/>
      <c r="M65" s="7"/>
      <c r="N65" s="6"/>
      <c r="O65" s="7"/>
      <c r="P65" s="8"/>
      <c r="Q65" s="4"/>
      <c r="R65" s="9" t="str">
        <f aca="false">IF(N65="Sim","Fechado (Total)",IF(N65="Parcial","Fechado (Parcial)",IF(N65="Não","Perdido",IF(N65="Pendente","Pendente",IF(N65="Não precisa no momento","Não Precisa no Momento",IF(L65="Sim","Plano de Tratamento",IF(J65="Não","Não Compareceu",IF(J65="Sim","Compareceu",IF(H65="Não","Perdido",IF(H65="Sim","Consulta Marcada",IF(A65="","","Novo Paciente")))))))))))</f>
        <v/>
      </c>
      <c r="S65" s="4"/>
      <c r="T65" s="10" t="str">
        <f aca="false">IF(A65="","",SUMPRODUCT(($R$2:R65=R65)*($A$2:A65&lt;&gt;"")))</f>
        <v/>
      </c>
      <c r="U65" s="10" t="str">
        <f aca="false">IF(A65="","",R65&amp;"|"&amp;T65)</f>
        <v/>
      </c>
      <c r="V65" s="10" t="str">
        <f aca="false">IF(G65="","",TEXT(G65,"mm/yyyy"))</f>
        <v/>
      </c>
      <c r="W65" s="10" t="str">
        <f aca="false">IF(P65="","",TEXT(P65,"mm/yyyy"))</f>
        <v/>
      </c>
      <c r="X65" s="10" t="str">
        <f aca="false">IF(A65="","",IF(OR(R65="Fechado (Total)",R65="Fechado (Parcial)"),"Fechado|"&amp;SUMPRODUCT((($R$2:R65="Fechado (Total)")+($R$2:R65="Fechado (Parcial)"))*($A$2:A65&lt;&gt;"")),""))</f>
        <v/>
      </c>
      <c r="Y65" s="10" t="str">
        <f aca="false">IF(A65="","",IF(D65="Indicação",SUMPRODUCT(($D$2:D65="Indicação")*($A$2:A65&lt;&gt;"")),""))</f>
        <v/>
      </c>
      <c r="Z65" s="10" t="str">
        <f aca="false">IF(Y65="","","Indicacao|"&amp;Y65)</f>
        <v/>
      </c>
      <c r="AA65" s="10" t="str">
        <f aca="false">IF(I65="","",TEXT(I65,"mm/yyyy"))</f>
        <v/>
      </c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8"/>
      <c r="H66" s="6"/>
      <c r="I66" s="8"/>
      <c r="J66" s="6"/>
      <c r="K66" s="6"/>
      <c r="L66" s="6"/>
      <c r="M66" s="7"/>
      <c r="N66" s="6"/>
      <c r="O66" s="7"/>
      <c r="P66" s="8"/>
      <c r="Q66" s="4"/>
      <c r="R66" s="9" t="str">
        <f aca="false">IF(N66="Sim","Fechado (Total)",IF(N66="Parcial","Fechado (Parcial)",IF(N66="Não","Perdido",IF(N66="Pendente","Pendente",IF(N66="Não precisa no momento","Não Precisa no Momento",IF(L66="Sim","Plano de Tratamento",IF(J66="Não","Não Compareceu",IF(J66="Sim","Compareceu",IF(H66="Não","Perdido",IF(H66="Sim","Consulta Marcada",IF(A66="","","Novo Paciente")))))))))))</f>
        <v/>
      </c>
      <c r="S66" s="4"/>
      <c r="T66" s="10" t="str">
        <f aca="false">IF(A66="","",SUMPRODUCT(($R$2:R66=R66)*($A$2:A66&lt;&gt;"")))</f>
        <v/>
      </c>
      <c r="U66" s="10" t="str">
        <f aca="false">IF(A66="","",R66&amp;"|"&amp;T66)</f>
        <v/>
      </c>
      <c r="V66" s="10" t="str">
        <f aca="false">IF(G66="","",TEXT(G66,"mm/yyyy"))</f>
        <v/>
      </c>
      <c r="W66" s="10" t="str">
        <f aca="false">IF(P66="","",TEXT(P66,"mm/yyyy"))</f>
        <v/>
      </c>
      <c r="X66" s="10" t="str">
        <f aca="false">IF(A66="","",IF(OR(R66="Fechado (Total)",R66="Fechado (Parcial)"),"Fechado|"&amp;SUMPRODUCT((($R$2:R66="Fechado (Total)")+($R$2:R66="Fechado (Parcial)"))*($A$2:A66&lt;&gt;"")),""))</f>
        <v/>
      </c>
      <c r="Y66" s="10" t="str">
        <f aca="false">IF(A66="","",IF(D66="Indicação",SUMPRODUCT(($D$2:D66="Indicação")*($A$2:A66&lt;&gt;"")),""))</f>
        <v/>
      </c>
      <c r="Z66" s="10" t="str">
        <f aca="false">IF(Y66="","","Indicacao|"&amp;Y66)</f>
        <v/>
      </c>
      <c r="AA66" s="10" t="str">
        <f aca="false">IF(I66="","",TEXT(I66,"mm/yyyy"))</f>
        <v/>
      </c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8"/>
      <c r="H67" s="6"/>
      <c r="I67" s="8"/>
      <c r="J67" s="6"/>
      <c r="K67" s="6"/>
      <c r="L67" s="6"/>
      <c r="M67" s="7"/>
      <c r="N67" s="6"/>
      <c r="O67" s="7"/>
      <c r="P67" s="8"/>
      <c r="Q67" s="4"/>
      <c r="R67" s="9" t="str">
        <f aca="false">IF(N67="Sim","Fechado (Total)",IF(N67="Parcial","Fechado (Parcial)",IF(N67="Não","Perdido",IF(N67="Pendente","Pendente",IF(N67="Não precisa no momento","Não Precisa no Momento",IF(L67="Sim","Plano de Tratamento",IF(J67="Não","Não Compareceu",IF(J67="Sim","Compareceu",IF(H67="Não","Perdido",IF(H67="Sim","Consulta Marcada",IF(A67="","","Novo Paciente")))))))))))</f>
        <v/>
      </c>
      <c r="S67" s="4"/>
      <c r="T67" s="10" t="str">
        <f aca="false">IF(A67="","",SUMPRODUCT(($R$2:R67=R67)*($A$2:A67&lt;&gt;"")))</f>
        <v/>
      </c>
      <c r="U67" s="10" t="str">
        <f aca="false">IF(A67="","",R67&amp;"|"&amp;T67)</f>
        <v/>
      </c>
      <c r="V67" s="10" t="str">
        <f aca="false">IF(G67="","",TEXT(G67,"mm/yyyy"))</f>
        <v/>
      </c>
      <c r="W67" s="10" t="str">
        <f aca="false">IF(P67="","",TEXT(P67,"mm/yyyy"))</f>
        <v/>
      </c>
      <c r="X67" s="10" t="str">
        <f aca="false">IF(A67="","",IF(OR(R67="Fechado (Total)",R67="Fechado (Parcial)"),"Fechado|"&amp;SUMPRODUCT((($R$2:R67="Fechado (Total)")+($R$2:R67="Fechado (Parcial)"))*($A$2:A67&lt;&gt;"")),""))</f>
        <v/>
      </c>
      <c r="Y67" s="10" t="str">
        <f aca="false">IF(A67="","",IF(D67="Indicação",SUMPRODUCT(($D$2:D67="Indicação")*($A$2:A67&lt;&gt;"")),""))</f>
        <v/>
      </c>
      <c r="Z67" s="10" t="str">
        <f aca="false">IF(Y67="","","Indicacao|"&amp;Y67)</f>
        <v/>
      </c>
      <c r="AA67" s="10" t="str">
        <f aca="false">IF(I67="","",TEXT(I67,"mm/yyyy"))</f>
        <v/>
      </c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8"/>
      <c r="H68" s="6"/>
      <c r="I68" s="8"/>
      <c r="J68" s="6"/>
      <c r="K68" s="6"/>
      <c r="L68" s="6"/>
      <c r="M68" s="7"/>
      <c r="N68" s="6"/>
      <c r="O68" s="7"/>
      <c r="P68" s="8"/>
      <c r="Q68" s="4"/>
      <c r="R68" s="9" t="str">
        <f aca="false">IF(N68="Sim","Fechado (Total)",IF(N68="Parcial","Fechado (Parcial)",IF(N68="Não","Perdido",IF(N68="Pendente","Pendente",IF(N68="Não precisa no momento","Não Precisa no Momento",IF(L68="Sim","Plano de Tratamento",IF(J68="Não","Não Compareceu",IF(J68="Sim","Compareceu",IF(H68="Não","Perdido",IF(H68="Sim","Consulta Marcada",IF(A68="","","Novo Paciente")))))))))))</f>
        <v/>
      </c>
      <c r="S68" s="4"/>
      <c r="T68" s="10" t="str">
        <f aca="false">IF(A68="","",SUMPRODUCT(($R$2:R68=R68)*($A$2:A68&lt;&gt;"")))</f>
        <v/>
      </c>
      <c r="U68" s="10" t="str">
        <f aca="false">IF(A68="","",R68&amp;"|"&amp;T68)</f>
        <v/>
      </c>
      <c r="V68" s="10" t="str">
        <f aca="false">IF(G68="","",TEXT(G68,"mm/yyyy"))</f>
        <v/>
      </c>
      <c r="W68" s="10" t="str">
        <f aca="false">IF(P68="","",TEXT(P68,"mm/yyyy"))</f>
        <v/>
      </c>
      <c r="X68" s="10" t="str">
        <f aca="false">IF(A68="","",IF(OR(R68="Fechado (Total)",R68="Fechado (Parcial)"),"Fechado|"&amp;SUMPRODUCT((($R$2:R68="Fechado (Total)")+($R$2:R68="Fechado (Parcial)"))*($A$2:A68&lt;&gt;"")),""))</f>
        <v/>
      </c>
      <c r="Y68" s="10" t="str">
        <f aca="false">IF(A68="","",IF(D68="Indicação",SUMPRODUCT(($D$2:D68="Indicação")*($A$2:A68&lt;&gt;"")),""))</f>
        <v/>
      </c>
      <c r="Z68" s="10" t="str">
        <f aca="false">IF(Y68="","","Indicacao|"&amp;Y68)</f>
        <v/>
      </c>
      <c r="AA68" s="10" t="str">
        <f aca="false">IF(I68="","",TEXT(I68,"mm/yyyy"))</f>
        <v/>
      </c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8"/>
      <c r="H69" s="6"/>
      <c r="I69" s="8"/>
      <c r="J69" s="6"/>
      <c r="K69" s="6"/>
      <c r="L69" s="6"/>
      <c r="M69" s="7"/>
      <c r="N69" s="6"/>
      <c r="O69" s="7"/>
      <c r="P69" s="8"/>
      <c r="Q69" s="4"/>
      <c r="R69" s="9" t="str">
        <f aca="false">IF(N69="Sim","Fechado (Total)",IF(N69="Parcial","Fechado (Parcial)",IF(N69="Não","Perdido",IF(N69="Pendente","Pendente",IF(N69="Não precisa no momento","Não Precisa no Momento",IF(L69="Sim","Plano de Tratamento",IF(J69="Não","Não Compareceu",IF(J69="Sim","Compareceu",IF(H69="Não","Perdido",IF(H69="Sim","Consulta Marcada",IF(A69="","","Novo Paciente")))))))))))</f>
        <v/>
      </c>
      <c r="S69" s="4"/>
      <c r="T69" s="10" t="str">
        <f aca="false">IF(A69="","",SUMPRODUCT(($R$2:R69=R69)*($A$2:A69&lt;&gt;"")))</f>
        <v/>
      </c>
      <c r="U69" s="10" t="str">
        <f aca="false">IF(A69="","",R69&amp;"|"&amp;T69)</f>
        <v/>
      </c>
      <c r="V69" s="10" t="str">
        <f aca="false">IF(G69="","",TEXT(G69,"mm/yyyy"))</f>
        <v/>
      </c>
      <c r="W69" s="10" t="str">
        <f aca="false">IF(P69="","",TEXT(P69,"mm/yyyy"))</f>
        <v/>
      </c>
      <c r="X69" s="10" t="str">
        <f aca="false">IF(A69="","",IF(OR(R69="Fechado (Total)",R69="Fechado (Parcial)"),"Fechado|"&amp;SUMPRODUCT((($R$2:R69="Fechado (Total)")+($R$2:R69="Fechado (Parcial)"))*($A$2:A69&lt;&gt;"")),""))</f>
        <v/>
      </c>
      <c r="Y69" s="10" t="str">
        <f aca="false">IF(A69="","",IF(D69="Indicação",SUMPRODUCT(($D$2:D69="Indicação")*($A$2:A69&lt;&gt;"")),""))</f>
        <v/>
      </c>
      <c r="Z69" s="10" t="str">
        <f aca="false">IF(Y69="","","Indicacao|"&amp;Y69)</f>
        <v/>
      </c>
      <c r="AA69" s="10" t="str">
        <f aca="false">IF(I69="","",TEXT(I69,"mm/yyyy"))</f>
        <v/>
      </c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8"/>
      <c r="H70" s="6"/>
      <c r="I70" s="8"/>
      <c r="J70" s="6"/>
      <c r="K70" s="6"/>
      <c r="L70" s="6"/>
      <c r="M70" s="7"/>
      <c r="N70" s="6"/>
      <c r="O70" s="7"/>
      <c r="P70" s="8"/>
      <c r="Q70" s="4"/>
      <c r="R70" s="9" t="str">
        <f aca="false">IF(N70="Sim","Fechado (Total)",IF(N70="Parcial","Fechado (Parcial)",IF(N70="Não","Perdido",IF(N70="Pendente","Pendente",IF(N70="Não precisa no momento","Não Precisa no Momento",IF(L70="Sim","Plano de Tratamento",IF(J70="Não","Não Compareceu",IF(J70="Sim","Compareceu",IF(H70="Não","Perdido",IF(H70="Sim","Consulta Marcada",IF(A70="","","Novo Paciente")))))))))))</f>
        <v/>
      </c>
      <c r="S70" s="4"/>
      <c r="T70" s="10" t="str">
        <f aca="false">IF(A70="","",SUMPRODUCT(($R$2:R70=R70)*($A$2:A70&lt;&gt;"")))</f>
        <v/>
      </c>
      <c r="U70" s="10" t="str">
        <f aca="false">IF(A70="","",R70&amp;"|"&amp;T70)</f>
        <v/>
      </c>
      <c r="V70" s="10" t="str">
        <f aca="false">IF(G70="","",TEXT(G70,"mm/yyyy"))</f>
        <v/>
      </c>
      <c r="W70" s="10" t="str">
        <f aca="false">IF(P70="","",TEXT(P70,"mm/yyyy"))</f>
        <v/>
      </c>
      <c r="X70" s="10" t="str">
        <f aca="false">IF(A70="","",IF(OR(R70="Fechado (Total)",R70="Fechado (Parcial)"),"Fechado|"&amp;SUMPRODUCT((($R$2:R70="Fechado (Total)")+($R$2:R70="Fechado (Parcial)"))*($A$2:A70&lt;&gt;"")),""))</f>
        <v/>
      </c>
      <c r="Y70" s="10" t="str">
        <f aca="false">IF(A70="","",IF(D70="Indicação",SUMPRODUCT(($D$2:D70="Indicação")*($A$2:A70&lt;&gt;"")),""))</f>
        <v/>
      </c>
      <c r="Z70" s="10" t="str">
        <f aca="false">IF(Y70="","","Indicacao|"&amp;Y70)</f>
        <v/>
      </c>
      <c r="AA70" s="10" t="str">
        <f aca="false">IF(I70="","",TEXT(I70,"mm/yyyy"))</f>
        <v/>
      </c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8"/>
      <c r="H71" s="6"/>
      <c r="I71" s="8"/>
      <c r="J71" s="6"/>
      <c r="K71" s="6"/>
      <c r="L71" s="6"/>
      <c r="M71" s="7"/>
      <c r="N71" s="6"/>
      <c r="O71" s="7"/>
      <c r="P71" s="8"/>
      <c r="Q71" s="4"/>
      <c r="R71" s="9" t="str">
        <f aca="false">IF(N71="Sim","Fechado (Total)",IF(N71="Parcial","Fechado (Parcial)",IF(N71="Não","Perdido",IF(N71="Pendente","Pendente",IF(N71="Não precisa no momento","Não Precisa no Momento",IF(L71="Sim","Plano de Tratamento",IF(J71="Não","Não Compareceu",IF(J71="Sim","Compareceu",IF(H71="Não","Perdido",IF(H71="Sim","Consulta Marcada",IF(A71="","","Novo Paciente")))))))))))</f>
        <v/>
      </c>
      <c r="S71" s="4"/>
      <c r="T71" s="10" t="str">
        <f aca="false">IF(A71="","",SUMPRODUCT(($R$2:R71=R71)*($A$2:A71&lt;&gt;"")))</f>
        <v/>
      </c>
      <c r="U71" s="10" t="str">
        <f aca="false">IF(A71="","",R71&amp;"|"&amp;T71)</f>
        <v/>
      </c>
      <c r="V71" s="10" t="str">
        <f aca="false">IF(G71="","",TEXT(G71,"mm/yyyy"))</f>
        <v/>
      </c>
      <c r="W71" s="10" t="str">
        <f aca="false">IF(P71="","",TEXT(P71,"mm/yyyy"))</f>
        <v/>
      </c>
      <c r="X71" s="10" t="str">
        <f aca="false">IF(A71="","",IF(OR(R71="Fechado (Total)",R71="Fechado (Parcial)"),"Fechado|"&amp;SUMPRODUCT((($R$2:R71="Fechado (Total)")+($R$2:R71="Fechado (Parcial)"))*($A$2:A71&lt;&gt;"")),""))</f>
        <v/>
      </c>
      <c r="Y71" s="10" t="str">
        <f aca="false">IF(A71="","",IF(D71="Indicação",SUMPRODUCT(($D$2:D71="Indicação")*($A$2:A71&lt;&gt;"")),""))</f>
        <v/>
      </c>
      <c r="Z71" s="10" t="str">
        <f aca="false">IF(Y71="","","Indicacao|"&amp;Y71)</f>
        <v/>
      </c>
      <c r="AA71" s="10" t="str">
        <f aca="false">IF(I71="","",TEXT(I71,"mm/yyyy"))</f>
        <v/>
      </c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8"/>
      <c r="H72" s="6"/>
      <c r="I72" s="8"/>
      <c r="J72" s="6"/>
      <c r="K72" s="6"/>
      <c r="L72" s="6"/>
      <c r="M72" s="7"/>
      <c r="N72" s="6"/>
      <c r="O72" s="7"/>
      <c r="P72" s="8"/>
      <c r="Q72" s="4"/>
      <c r="R72" s="9" t="str">
        <f aca="false">IF(N72="Sim","Fechado (Total)",IF(N72="Parcial","Fechado (Parcial)",IF(N72="Não","Perdido",IF(N72="Pendente","Pendente",IF(N72="Não precisa no momento","Não Precisa no Momento",IF(L72="Sim","Plano de Tratamento",IF(J72="Não","Não Compareceu",IF(J72="Sim","Compareceu",IF(H72="Não","Perdido",IF(H72="Sim","Consulta Marcada",IF(A72="","","Novo Paciente")))))))))))</f>
        <v/>
      </c>
      <c r="S72" s="4"/>
      <c r="T72" s="10" t="str">
        <f aca="false">IF(A72="","",SUMPRODUCT(($R$2:R72=R72)*($A$2:A72&lt;&gt;"")))</f>
        <v/>
      </c>
      <c r="U72" s="10" t="str">
        <f aca="false">IF(A72="","",R72&amp;"|"&amp;T72)</f>
        <v/>
      </c>
      <c r="V72" s="10" t="str">
        <f aca="false">IF(G72="","",TEXT(G72,"mm/yyyy"))</f>
        <v/>
      </c>
      <c r="W72" s="10" t="str">
        <f aca="false">IF(P72="","",TEXT(P72,"mm/yyyy"))</f>
        <v/>
      </c>
      <c r="X72" s="10" t="str">
        <f aca="false">IF(A72="","",IF(OR(R72="Fechado (Total)",R72="Fechado (Parcial)"),"Fechado|"&amp;SUMPRODUCT((($R$2:R72="Fechado (Total)")+($R$2:R72="Fechado (Parcial)"))*($A$2:A72&lt;&gt;"")),""))</f>
        <v/>
      </c>
      <c r="Y72" s="10" t="str">
        <f aca="false">IF(A72="","",IF(D72="Indicação",SUMPRODUCT(($D$2:D72="Indicação")*($A$2:A72&lt;&gt;"")),""))</f>
        <v/>
      </c>
      <c r="Z72" s="10" t="str">
        <f aca="false">IF(Y72="","","Indicacao|"&amp;Y72)</f>
        <v/>
      </c>
      <c r="AA72" s="10" t="str">
        <f aca="false">IF(I72="","",TEXT(I72,"mm/yyyy"))</f>
        <v/>
      </c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8"/>
      <c r="H73" s="6"/>
      <c r="I73" s="8"/>
      <c r="J73" s="6"/>
      <c r="K73" s="6"/>
      <c r="L73" s="6"/>
      <c r="M73" s="7"/>
      <c r="N73" s="6"/>
      <c r="O73" s="7"/>
      <c r="P73" s="8"/>
      <c r="Q73" s="4"/>
      <c r="R73" s="9" t="str">
        <f aca="false">IF(N73="Sim","Fechado (Total)",IF(N73="Parcial","Fechado (Parcial)",IF(N73="Não","Perdido",IF(N73="Pendente","Pendente",IF(N73="Não precisa no momento","Não Precisa no Momento",IF(L73="Sim","Plano de Tratamento",IF(J73="Não","Não Compareceu",IF(J73="Sim","Compareceu",IF(H73="Não","Perdido",IF(H73="Sim","Consulta Marcada",IF(A73="","","Novo Paciente")))))))))))</f>
        <v/>
      </c>
      <c r="S73" s="4"/>
      <c r="T73" s="10" t="str">
        <f aca="false">IF(A73="","",SUMPRODUCT(($R$2:R73=R73)*($A$2:A73&lt;&gt;"")))</f>
        <v/>
      </c>
      <c r="U73" s="10" t="str">
        <f aca="false">IF(A73="","",R73&amp;"|"&amp;T73)</f>
        <v/>
      </c>
      <c r="V73" s="10" t="str">
        <f aca="false">IF(G73="","",TEXT(G73,"mm/yyyy"))</f>
        <v/>
      </c>
      <c r="W73" s="10" t="str">
        <f aca="false">IF(P73="","",TEXT(P73,"mm/yyyy"))</f>
        <v/>
      </c>
      <c r="X73" s="10" t="str">
        <f aca="false">IF(A73="","",IF(OR(R73="Fechado (Total)",R73="Fechado (Parcial)"),"Fechado|"&amp;SUMPRODUCT((($R$2:R73="Fechado (Total)")+($R$2:R73="Fechado (Parcial)"))*($A$2:A73&lt;&gt;"")),""))</f>
        <v/>
      </c>
      <c r="Y73" s="10" t="str">
        <f aca="false">IF(A73="","",IF(D73="Indicação",SUMPRODUCT(($D$2:D73="Indicação")*($A$2:A73&lt;&gt;"")),""))</f>
        <v/>
      </c>
      <c r="Z73" s="10" t="str">
        <f aca="false">IF(Y73="","","Indicacao|"&amp;Y73)</f>
        <v/>
      </c>
      <c r="AA73" s="10" t="str">
        <f aca="false">IF(I73="","",TEXT(I73,"mm/yyyy"))</f>
        <v/>
      </c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8"/>
      <c r="H74" s="6"/>
      <c r="I74" s="8"/>
      <c r="J74" s="6"/>
      <c r="K74" s="6"/>
      <c r="L74" s="6"/>
      <c r="M74" s="7"/>
      <c r="N74" s="6"/>
      <c r="O74" s="7"/>
      <c r="P74" s="8"/>
      <c r="Q74" s="4"/>
      <c r="R74" s="9" t="str">
        <f aca="false">IF(N74="Sim","Fechado (Total)",IF(N74="Parcial","Fechado (Parcial)",IF(N74="Não","Perdido",IF(N74="Pendente","Pendente",IF(N74="Não precisa no momento","Não Precisa no Momento",IF(L74="Sim","Plano de Tratamento",IF(J74="Não","Não Compareceu",IF(J74="Sim","Compareceu",IF(H74="Não","Perdido",IF(H74="Sim","Consulta Marcada",IF(A74="","","Novo Paciente")))))))))))</f>
        <v/>
      </c>
      <c r="S74" s="4"/>
      <c r="T74" s="10" t="str">
        <f aca="false">IF(A74="","",SUMPRODUCT(($R$2:R74=R74)*($A$2:A74&lt;&gt;"")))</f>
        <v/>
      </c>
      <c r="U74" s="10" t="str">
        <f aca="false">IF(A74="","",R74&amp;"|"&amp;T74)</f>
        <v/>
      </c>
      <c r="V74" s="10" t="str">
        <f aca="false">IF(G74="","",TEXT(G74,"mm/yyyy"))</f>
        <v/>
      </c>
      <c r="W74" s="10" t="str">
        <f aca="false">IF(P74="","",TEXT(P74,"mm/yyyy"))</f>
        <v/>
      </c>
      <c r="X74" s="10" t="str">
        <f aca="false">IF(A74="","",IF(OR(R74="Fechado (Total)",R74="Fechado (Parcial)"),"Fechado|"&amp;SUMPRODUCT((($R$2:R74="Fechado (Total)")+($R$2:R74="Fechado (Parcial)"))*($A$2:A74&lt;&gt;"")),""))</f>
        <v/>
      </c>
      <c r="Y74" s="10" t="str">
        <f aca="false">IF(A74="","",IF(D74="Indicação",SUMPRODUCT(($D$2:D74="Indicação")*($A$2:A74&lt;&gt;"")),""))</f>
        <v/>
      </c>
      <c r="Z74" s="10" t="str">
        <f aca="false">IF(Y74="","","Indicacao|"&amp;Y74)</f>
        <v/>
      </c>
      <c r="AA74" s="10" t="str">
        <f aca="false">IF(I74="","",TEXT(I74,"mm/yyyy"))</f>
        <v/>
      </c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8"/>
      <c r="H75" s="6"/>
      <c r="I75" s="8"/>
      <c r="J75" s="6"/>
      <c r="K75" s="6"/>
      <c r="L75" s="6"/>
      <c r="M75" s="7"/>
      <c r="N75" s="6"/>
      <c r="O75" s="7"/>
      <c r="P75" s="8"/>
      <c r="Q75" s="4"/>
      <c r="R75" s="9" t="str">
        <f aca="false">IF(N75="Sim","Fechado (Total)",IF(N75="Parcial","Fechado (Parcial)",IF(N75="Não","Perdido",IF(N75="Pendente","Pendente",IF(N75="Não precisa no momento","Não Precisa no Momento",IF(L75="Sim","Plano de Tratamento",IF(J75="Não","Não Compareceu",IF(J75="Sim","Compareceu",IF(H75="Não","Perdido",IF(H75="Sim","Consulta Marcada",IF(A75="","","Novo Paciente")))))))))))</f>
        <v/>
      </c>
      <c r="S75" s="4"/>
      <c r="T75" s="10" t="str">
        <f aca="false">IF(A75="","",SUMPRODUCT(($R$2:R75=R75)*($A$2:A75&lt;&gt;"")))</f>
        <v/>
      </c>
      <c r="U75" s="10" t="str">
        <f aca="false">IF(A75="","",R75&amp;"|"&amp;T75)</f>
        <v/>
      </c>
      <c r="V75" s="10" t="str">
        <f aca="false">IF(G75="","",TEXT(G75,"mm/yyyy"))</f>
        <v/>
      </c>
      <c r="W75" s="10" t="str">
        <f aca="false">IF(P75="","",TEXT(P75,"mm/yyyy"))</f>
        <v/>
      </c>
      <c r="X75" s="10" t="str">
        <f aca="false">IF(A75="","",IF(OR(R75="Fechado (Total)",R75="Fechado (Parcial)"),"Fechado|"&amp;SUMPRODUCT((($R$2:R75="Fechado (Total)")+($R$2:R75="Fechado (Parcial)"))*($A$2:A75&lt;&gt;"")),""))</f>
        <v/>
      </c>
      <c r="Y75" s="10" t="str">
        <f aca="false">IF(A75="","",IF(D75="Indicação",SUMPRODUCT(($D$2:D75="Indicação")*($A$2:A75&lt;&gt;"")),""))</f>
        <v/>
      </c>
      <c r="Z75" s="10" t="str">
        <f aca="false">IF(Y75="","","Indicacao|"&amp;Y75)</f>
        <v/>
      </c>
      <c r="AA75" s="10" t="str">
        <f aca="false">IF(I75="","",TEXT(I75,"mm/yyyy"))</f>
        <v/>
      </c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8"/>
      <c r="H76" s="6"/>
      <c r="I76" s="8"/>
      <c r="J76" s="6"/>
      <c r="K76" s="6"/>
      <c r="L76" s="6"/>
      <c r="M76" s="7"/>
      <c r="N76" s="6"/>
      <c r="O76" s="7"/>
      <c r="P76" s="8"/>
      <c r="Q76" s="4"/>
      <c r="R76" s="9" t="str">
        <f aca="false">IF(N76="Sim","Fechado (Total)",IF(N76="Parcial","Fechado (Parcial)",IF(N76="Não","Perdido",IF(N76="Pendente","Pendente",IF(N76="Não precisa no momento","Não Precisa no Momento",IF(L76="Sim","Plano de Tratamento",IF(J76="Não","Não Compareceu",IF(J76="Sim","Compareceu",IF(H76="Não","Perdido",IF(H76="Sim","Consulta Marcada",IF(A76="","","Novo Paciente")))))))))))</f>
        <v/>
      </c>
      <c r="S76" s="4"/>
      <c r="T76" s="10" t="str">
        <f aca="false">IF(A76="","",SUMPRODUCT(($R$2:R76=R76)*($A$2:A76&lt;&gt;"")))</f>
        <v/>
      </c>
      <c r="U76" s="10" t="str">
        <f aca="false">IF(A76="","",R76&amp;"|"&amp;T76)</f>
        <v/>
      </c>
      <c r="V76" s="10" t="str">
        <f aca="false">IF(G76="","",TEXT(G76,"mm/yyyy"))</f>
        <v/>
      </c>
      <c r="W76" s="10" t="str">
        <f aca="false">IF(P76="","",TEXT(P76,"mm/yyyy"))</f>
        <v/>
      </c>
      <c r="X76" s="10" t="str">
        <f aca="false">IF(A76="","",IF(OR(R76="Fechado (Total)",R76="Fechado (Parcial)"),"Fechado|"&amp;SUMPRODUCT((($R$2:R76="Fechado (Total)")+($R$2:R76="Fechado (Parcial)"))*($A$2:A76&lt;&gt;"")),""))</f>
        <v/>
      </c>
      <c r="Y76" s="10" t="str">
        <f aca="false">IF(A76="","",IF(D76="Indicação",SUMPRODUCT(($D$2:D76="Indicação")*($A$2:A76&lt;&gt;"")),""))</f>
        <v/>
      </c>
      <c r="Z76" s="10" t="str">
        <f aca="false">IF(Y76="","","Indicacao|"&amp;Y76)</f>
        <v/>
      </c>
      <c r="AA76" s="10" t="str">
        <f aca="false">IF(I76="","",TEXT(I76,"mm/yyyy"))</f>
        <v/>
      </c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8"/>
      <c r="H77" s="6"/>
      <c r="I77" s="8"/>
      <c r="J77" s="6"/>
      <c r="K77" s="6"/>
      <c r="L77" s="6"/>
      <c r="M77" s="7"/>
      <c r="N77" s="6"/>
      <c r="O77" s="7"/>
      <c r="P77" s="8"/>
      <c r="Q77" s="4"/>
      <c r="R77" s="9" t="str">
        <f aca="false">IF(N77="Sim","Fechado (Total)",IF(N77="Parcial","Fechado (Parcial)",IF(N77="Não","Perdido",IF(N77="Pendente","Pendente",IF(N77="Não precisa no momento","Não Precisa no Momento",IF(L77="Sim","Plano de Tratamento",IF(J77="Não","Não Compareceu",IF(J77="Sim","Compareceu",IF(H77="Não","Perdido",IF(H77="Sim","Consulta Marcada",IF(A77="","","Novo Paciente")))))))))))</f>
        <v/>
      </c>
      <c r="S77" s="4"/>
      <c r="T77" s="10" t="str">
        <f aca="false">IF(A77="","",SUMPRODUCT(($R$2:R77=R77)*($A$2:A77&lt;&gt;"")))</f>
        <v/>
      </c>
      <c r="U77" s="10" t="str">
        <f aca="false">IF(A77="","",R77&amp;"|"&amp;T77)</f>
        <v/>
      </c>
      <c r="V77" s="10" t="str">
        <f aca="false">IF(G77="","",TEXT(G77,"mm/yyyy"))</f>
        <v/>
      </c>
      <c r="W77" s="10" t="str">
        <f aca="false">IF(P77="","",TEXT(P77,"mm/yyyy"))</f>
        <v/>
      </c>
      <c r="X77" s="10" t="str">
        <f aca="false">IF(A77="","",IF(OR(R77="Fechado (Total)",R77="Fechado (Parcial)"),"Fechado|"&amp;SUMPRODUCT((($R$2:R77="Fechado (Total)")+($R$2:R77="Fechado (Parcial)"))*($A$2:A77&lt;&gt;"")),""))</f>
        <v/>
      </c>
      <c r="Y77" s="10" t="str">
        <f aca="false">IF(A77="","",IF(D77="Indicação",SUMPRODUCT(($D$2:D77="Indicação")*($A$2:A77&lt;&gt;"")),""))</f>
        <v/>
      </c>
      <c r="Z77" s="10" t="str">
        <f aca="false">IF(Y77="","","Indicacao|"&amp;Y77)</f>
        <v/>
      </c>
      <c r="AA77" s="10" t="str">
        <f aca="false">IF(I77="","",TEXT(I77,"mm/yyyy"))</f>
        <v/>
      </c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8"/>
      <c r="H78" s="6"/>
      <c r="I78" s="8"/>
      <c r="J78" s="6"/>
      <c r="K78" s="6"/>
      <c r="L78" s="6"/>
      <c r="M78" s="7"/>
      <c r="N78" s="6"/>
      <c r="O78" s="7"/>
      <c r="P78" s="8"/>
      <c r="Q78" s="4"/>
      <c r="R78" s="9" t="str">
        <f aca="false">IF(N78="Sim","Fechado (Total)",IF(N78="Parcial","Fechado (Parcial)",IF(N78="Não","Perdido",IF(N78="Pendente","Pendente",IF(N78="Não precisa no momento","Não Precisa no Momento",IF(L78="Sim","Plano de Tratamento",IF(J78="Não","Não Compareceu",IF(J78="Sim","Compareceu",IF(H78="Não","Perdido",IF(H78="Sim","Consulta Marcada",IF(A78="","","Novo Paciente")))))))))))</f>
        <v/>
      </c>
      <c r="S78" s="4"/>
      <c r="T78" s="10" t="str">
        <f aca="false">IF(A78="","",SUMPRODUCT(($R$2:R78=R78)*($A$2:A78&lt;&gt;"")))</f>
        <v/>
      </c>
      <c r="U78" s="10" t="str">
        <f aca="false">IF(A78="","",R78&amp;"|"&amp;T78)</f>
        <v/>
      </c>
      <c r="V78" s="10" t="str">
        <f aca="false">IF(G78="","",TEXT(G78,"mm/yyyy"))</f>
        <v/>
      </c>
      <c r="W78" s="10" t="str">
        <f aca="false">IF(P78="","",TEXT(P78,"mm/yyyy"))</f>
        <v/>
      </c>
      <c r="X78" s="10" t="str">
        <f aca="false">IF(A78="","",IF(OR(R78="Fechado (Total)",R78="Fechado (Parcial)"),"Fechado|"&amp;SUMPRODUCT((($R$2:R78="Fechado (Total)")+($R$2:R78="Fechado (Parcial)"))*($A$2:A78&lt;&gt;"")),""))</f>
        <v/>
      </c>
      <c r="Y78" s="10" t="str">
        <f aca="false">IF(A78="","",IF(D78="Indicação",SUMPRODUCT(($D$2:D78="Indicação")*($A$2:A78&lt;&gt;"")),""))</f>
        <v/>
      </c>
      <c r="Z78" s="10" t="str">
        <f aca="false">IF(Y78="","","Indicacao|"&amp;Y78)</f>
        <v/>
      </c>
      <c r="AA78" s="10" t="str">
        <f aca="false">IF(I78="","",TEXT(I78,"mm/yyyy"))</f>
        <v/>
      </c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8"/>
      <c r="H79" s="6"/>
      <c r="I79" s="8"/>
      <c r="J79" s="6"/>
      <c r="K79" s="6"/>
      <c r="L79" s="6"/>
      <c r="M79" s="7"/>
      <c r="N79" s="6"/>
      <c r="O79" s="7"/>
      <c r="P79" s="8"/>
      <c r="Q79" s="4"/>
      <c r="R79" s="9" t="str">
        <f aca="false">IF(N79="Sim","Fechado (Total)",IF(N79="Parcial","Fechado (Parcial)",IF(N79="Não","Perdido",IF(N79="Pendente","Pendente",IF(N79="Não precisa no momento","Não Precisa no Momento",IF(L79="Sim","Plano de Tratamento",IF(J79="Não","Não Compareceu",IF(J79="Sim","Compareceu",IF(H79="Não","Perdido",IF(H79="Sim","Consulta Marcada",IF(A79="","","Novo Paciente")))))))))))</f>
        <v/>
      </c>
      <c r="S79" s="4"/>
      <c r="T79" s="10" t="str">
        <f aca="false">IF(A79="","",SUMPRODUCT(($R$2:R79=R79)*($A$2:A79&lt;&gt;"")))</f>
        <v/>
      </c>
      <c r="U79" s="10" t="str">
        <f aca="false">IF(A79="","",R79&amp;"|"&amp;T79)</f>
        <v/>
      </c>
      <c r="V79" s="10" t="str">
        <f aca="false">IF(G79="","",TEXT(G79,"mm/yyyy"))</f>
        <v/>
      </c>
      <c r="W79" s="10" t="str">
        <f aca="false">IF(P79="","",TEXT(P79,"mm/yyyy"))</f>
        <v/>
      </c>
      <c r="X79" s="10" t="str">
        <f aca="false">IF(A79="","",IF(OR(R79="Fechado (Total)",R79="Fechado (Parcial)"),"Fechado|"&amp;SUMPRODUCT((($R$2:R79="Fechado (Total)")+($R$2:R79="Fechado (Parcial)"))*($A$2:A79&lt;&gt;"")),""))</f>
        <v/>
      </c>
      <c r="Y79" s="10" t="str">
        <f aca="false">IF(A79="","",IF(D79="Indicação",SUMPRODUCT(($D$2:D79="Indicação")*($A$2:A79&lt;&gt;"")),""))</f>
        <v/>
      </c>
      <c r="Z79" s="10" t="str">
        <f aca="false">IF(Y79="","","Indicacao|"&amp;Y79)</f>
        <v/>
      </c>
      <c r="AA79" s="10" t="str">
        <f aca="false">IF(I79="","",TEXT(I79,"mm/yyyy"))</f>
        <v/>
      </c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8"/>
      <c r="H80" s="6"/>
      <c r="I80" s="8"/>
      <c r="J80" s="6"/>
      <c r="K80" s="6"/>
      <c r="L80" s="6"/>
      <c r="M80" s="7"/>
      <c r="N80" s="6"/>
      <c r="O80" s="7"/>
      <c r="P80" s="8"/>
      <c r="Q80" s="4"/>
      <c r="R80" s="9" t="str">
        <f aca="false">IF(N80="Sim","Fechado (Total)",IF(N80="Parcial","Fechado (Parcial)",IF(N80="Não","Perdido",IF(N80="Pendente","Pendente",IF(N80="Não precisa no momento","Não Precisa no Momento",IF(L80="Sim","Plano de Tratamento",IF(J80="Não","Não Compareceu",IF(J80="Sim","Compareceu",IF(H80="Não","Perdido",IF(H80="Sim","Consulta Marcada",IF(A80="","","Novo Paciente")))))))))))</f>
        <v/>
      </c>
      <c r="S80" s="4"/>
      <c r="T80" s="10" t="str">
        <f aca="false">IF(A80="","",SUMPRODUCT(($R$2:R80=R80)*($A$2:A80&lt;&gt;"")))</f>
        <v/>
      </c>
      <c r="U80" s="10" t="str">
        <f aca="false">IF(A80="","",R80&amp;"|"&amp;T80)</f>
        <v/>
      </c>
      <c r="V80" s="10" t="str">
        <f aca="false">IF(G80="","",TEXT(G80,"mm/yyyy"))</f>
        <v/>
      </c>
      <c r="W80" s="10" t="str">
        <f aca="false">IF(P80="","",TEXT(P80,"mm/yyyy"))</f>
        <v/>
      </c>
      <c r="X80" s="10" t="str">
        <f aca="false">IF(A80="","",IF(OR(R80="Fechado (Total)",R80="Fechado (Parcial)"),"Fechado|"&amp;SUMPRODUCT((($R$2:R80="Fechado (Total)")+($R$2:R80="Fechado (Parcial)"))*($A$2:A80&lt;&gt;"")),""))</f>
        <v/>
      </c>
      <c r="Y80" s="10" t="str">
        <f aca="false">IF(A80="","",IF(D80="Indicação",SUMPRODUCT(($D$2:D80="Indicação")*($A$2:A80&lt;&gt;"")),""))</f>
        <v/>
      </c>
      <c r="Z80" s="10" t="str">
        <f aca="false">IF(Y80="","","Indicacao|"&amp;Y80)</f>
        <v/>
      </c>
      <c r="AA80" s="10" t="str">
        <f aca="false">IF(I80="","",TEXT(I80,"mm/yyyy"))</f>
        <v/>
      </c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8"/>
      <c r="H81" s="6"/>
      <c r="I81" s="8"/>
      <c r="J81" s="6"/>
      <c r="K81" s="6"/>
      <c r="L81" s="6"/>
      <c r="M81" s="7"/>
      <c r="N81" s="6"/>
      <c r="O81" s="7"/>
      <c r="P81" s="8"/>
      <c r="Q81" s="4"/>
      <c r="R81" s="9" t="str">
        <f aca="false">IF(N81="Sim","Fechado (Total)",IF(N81="Parcial","Fechado (Parcial)",IF(N81="Não","Perdido",IF(N81="Pendente","Pendente",IF(N81="Não precisa no momento","Não Precisa no Momento",IF(L81="Sim","Plano de Tratamento",IF(J81="Não","Não Compareceu",IF(J81="Sim","Compareceu",IF(H81="Não","Perdido",IF(H81="Sim","Consulta Marcada",IF(A81="","","Novo Paciente")))))))))))</f>
        <v/>
      </c>
      <c r="S81" s="4"/>
      <c r="T81" s="10" t="str">
        <f aca="false">IF(A81="","",SUMPRODUCT(($R$2:R81=R81)*($A$2:A81&lt;&gt;"")))</f>
        <v/>
      </c>
      <c r="U81" s="10" t="str">
        <f aca="false">IF(A81="","",R81&amp;"|"&amp;T81)</f>
        <v/>
      </c>
      <c r="V81" s="10" t="str">
        <f aca="false">IF(G81="","",TEXT(G81,"mm/yyyy"))</f>
        <v/>
      </c>
      <c r="W81" s="10" t="str">
        <f aca="false">IF(P81="","",TEXT(P81,"mm/yyyy"))</f>
        <v/>
      </c>
      <c r="X81" s="10" t="str">
        <f aca="false">IF(A81="","",IF(OR(R81="Fechado (Total)",R81="Fechado (Parcial)"),"Fechado|"&amp;SUMPRODUCT((($R$2:R81="Fechado (Total)")+($R$2:R81="Fechado (Parcial)"))*($A$2:A81&lt;&gt;"")),""))</f>
        <v/>
      </c>
      <c r="Y81" s="10" t="str">
        <f aca="false">IF(A81="","",IF(D81="Indicação",SUMPRODUCT(($D$2:D81="Indicação")*($A$2:A81&lt;&gt;"")),""))</f>
        <v/>
      </c>
      <c r="Z81" s="10" t="str">
        <f aca="false">IF(Y81="","","Indicacao|"&amp;Y81)</f>
        <v/>
      </c>
      <c r="AA81" s="10" t="str">
        <f aca="false">IF(I81="","",TEXT(I81,"mm/yyyy"))</f>
        <v/>
      </c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8"/>
      <c r="H82" s="6"/>
      <c r="I82" s="8"/>
      <c r="J82" s="6"/>
      <c r="K82" s="6"/>
      <c r="L82" s="6"/>
      <c r="M82" s="7"/>
      <c r="N82" s="6"/>
      <c r="O82" s="7"/>
      <c r="P82" s="8"/>
      <c r="Q82" s="4"/>
      <c r="R82" s="9" t="str">
        <f aca="false">IF(N82="Sim","Fechado (Total)",IF(N82="Parcial","Fechado (Parcial)",IF(N82="Não","Perdido",IF(N82="Pendente","Pendente",IF(N82="Não precisa no momento","Não Precisa no Momento",IF(L82="Sim","Plano de Tratamento",IF(J82="Não","Não Compareceu",IF(J82="Sim","Compareceu",IF(H82="Não","Perdido",IF(H82="Sim","Consulta Marcada",IF(A82="","","Novo Paciente")))))))))))</f>
        <v/>
      </c>
      <c r="S82" s="4"/>
      <c r="T82" s="10" t="str">
        <f aca="false">IF(A82="","",SUMPRODUCT(($R$2:R82=R82)*($A$2:A82&lt;&gt;"")))</f>
        <v/>
      </c>
      <c r="U82" s="10" t="str">
        <f aca="false">IF(A82="","",R82&amp;"|"&amp;T82)</f>
        <v/>
      </c>
      <c r="V82" s="10" t="str">
        <f aca="false">IF(G82="","",TEXT(G82,"mm/yyyy"))</f>
        <v/>
      </c>
      <c r="W82" s="10" t="str">
        <f aca="false">IF(P82="","",TEXT(P82,"mm/yyyy"))</f>
        <v/>
      </c>
      <c r="X82" s="10" t="str">
        <f aca="false">IF(A82="","",IF(OR(R82="Fechado (Total)",R82="Fechado (Parcial)"),"Fechado|"&amp;SUMPRODUCT((($R$2:R82="Fechado (Total)")+($R$2:R82="Fechado (Parcial)"))*($A$2:A82&lt;&gt;"")),""))</f>
        <v/>
      </c>
      <c r="Y82" s="10" t="str">
        <f aca="false">IF(A82="","",IF(D82="Indicação",SUMPRODUCT(($D$2:D82="Indicação")*($A$2:A82&lt;&gt;"")),""))</f>
        <v/>
      </c>
      <c r="Z82" s="10" t="str">
        <f aca="false">IF(Y82="","","Indicacao|"&amp;Y82)</f>
        <v/>
      </c>
      <c r="AA82" s="10" t="str">
        <f aca="false">IF(I82="","",TEXT(I82,"mm/yyyy"))</f>
        <v/>
      </c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8"/>
      <c r="H83" s="6"/>
      <c r="I83" s="8"/>
      <c r="J83" s="6"/>
      <c r="K83" s="6"/>
      <c r="L83" s="6"/>
      <c r="M83" s="7"/>
      <c r="N83" s="6"/>
      <c r="O83" s="7"/>
      <c r="P83" s="8"/>
      <c r="Q83" s="4"/>
      <c r="R83" s="9" t="str">
        <f aca="false">IF(N83="Sim","Fechado (Total)",IF(N83="Parcial","Fechado (Parcial)",IF(N83="Não","Perdido",IF(N83="Pendente","Pendente",IF(N83="Não precisa no momento","Não Precisa no Momento",IF(L83="Sim","Plano de Tratamento",IF(J83="Não","Não Compareceu",IF(J83="Sim","Compareceu",IF(H83="Não","Perdido",IF(H83="Sim","Consulta Marcada",IF(A83="","","Novo Paciente")))))))))))</f>
        <v/>
      </c>
      <c r="S83" s="4"/>
      <c r="T83" s="10" t="str">
        <f aca="false">IF(A83="","",SUMPRODUCT(($R$2:R83=R83)*($A$2:A83&lt;&gt;"")))</f>
        <v/>
      </c>
      <c r="U83" s="10" t="str">
        <f aca="false">IF(A83="","",R83&amp;"|"&amp;T83)</f>
        <v/>
      </c>
      <c r="V83" s="10" t="str">
        <f aca="false">IF(G83="","",TEXT(G83,"mm/yyyy"))</f>
        <v/>
      </c>
      <c r="W83" s="10" t="str">
        <f aca="false">IF(P83="","",TEXT(P83,"mm/yyyy"))</f>
        <v/>
      </c>
      <c r="X83" s="10" t="str">
        <f aca="false">IF(A83="","",IF(OR(R83="Fechado (Total)",R83="Fechado (Parcial)"),"Fechado|"&amp;SUMPRODUCT((($R$2:R83="Fechado (Total)")+($R$2:R83="Fechado (Parcial)"))*($A$2:A83&lt;&gt;"")),""))</f>
        <v/>
      </c>
      <c r="Y83" s="10" t="str">
        <f aca="false">IF(A83="","",IF(D83="Indicação",SUMPRODUCT(($D$2:D83="Indicação")*($A$2:A83&lt;&gt;"")),""))</f>
        <v/>
      </c>
      <c r="Z83" s="10" t="str">
        <f aca="false">IF(Y83="","","Indicacao|"&amp;Y83)</f>
        <v/>
      </c>
      <c r="AA83" s="10" t="str">
        <f aca="false">IF(I83="","",TEXT(I83,"mm/yyyy"))</f>
        <v/>
      </c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8"/>
      <c r="H84" s="6"/>
      <c r="I84" s="8"/>
      <c r="J84" s="6"/>
      <c r="K84" s="6"/>
      <c r="L84" s="6"/>
      <c r="M84" s="7"/>
      <c r="N84" s="6"/>
      <c r="O84" s="7"/>
      <c r="P84" s="8"/>
      <c r="Q84" s="4"/>
      <c r="R84" s="9" t="str">
        <f aca="false">IF(N84="Sim","Fechado (Total)",IF(N84="Parcial","Fechado (Parcial)",IF(N84="Não","Perdido",IF(N84="Pendente","Pendente",IF(N84="Não precisa no momento","Não Precisa no Momento",IF(L84="Sim","Plano de Tratamento",IF(J84="Não","Não Compareceu",IF(J84="Sim","Compareceu",IF(H84="Não","Perdido",IF(H84="Sim","Consulta Marcada",IF(A84="","","Novo Paciente")))))))))))</f>
        <v/>
      </c>
      <c r="S84" s="4"/>
      <c r="T84" s="10" t="str">
        <f aca="false">IF(A84="","",SUMPRODUCT(($R$2:R84=R84)*($A$2:A84&lt;&gt;"")))</f>
        <v/>
      </c>
      <c r="U84" s="10" t="str">
        <f aca="false">IF(A84="","",R84&amp;"|"&amp;T84)</f>
        <v/>
      </c>
      <c r="V84" s="10" t="str">
        <f aca="false">IF(G84="","",TEXT(G84,"mm/yyyy"))</f>
        <v/>
      </c>
      <c r="W84" s="10" t="str">
        <f aca="false">IF(P84="","",TEXT(P84,"mm/yyyy"))</f>
        <v/>
      </c>
      <c r="X84" s="10" t="str">
        <f aca="false">IF(A84="","",IF(OR(R84="Fechado (Total)",R84="Fechado (Parcial)"),"Fechado|"&amp;SUMPRODUCT((($R$2:R84="Fechado (Total)")+($R$2:R84="Fechado (Parcial)"))*($A$2:A84&lt;&gt;"")),""))</f>
        <v/>
      </c>
      <c r="Y84" s="10" t="str">
        <f aca="false">IF(A84="","",IF(D84="Indicação",SUMPRODUCT(($D$2:D84="Indicação")*($A$2:A84&lt;&gt;"")),""))</f>
        <v/>
      </c>
      <c r="Z84" s="10" t="str">
        <f aca="false">IF(Y84="","","Indicacao|"&amp;Y84)</f>
        <v/>
      </c>
      <c r="AA84" s="10" t="str">
        <f aca="false">IF(I84="","",TEXT(I84,"mm/yyyy"))</f>
        <v/>
      </c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8"/>
      <c r="H85" s="6"/>
      <c r="I85" s="8"/>
      <c r="J85" s="6"/>
      <c r="K85" s="6"/>
      <c r="L85" s="6"/>
      <c r="M85" s="7"/>
      <c r="N85" s="6"/>
      <c r="O85" s="7"/>
      <c r="P85" s="8"/>
      <c r="Q85" s="4"/>
      <c r="R85" s="9" t="str">
        <f aca="false">IF(N85="Sim","Fechado (Total)",IF(N85="Parcial","Fechado (Parcial)",IF(N85="Não","Perdido",IF(N85="Pendente","Pendente",IF(N85="Não precisa no momento","Não Precisa no Momento",IF(L85="Sim","Plano de Tratamento",IF(J85="Não","Não Compareceu",IF(J85="Sim","Compareceu",IF(H85="Não","Perdido",IF(H85="Sim","Consulta Marcada",IF(A85="","","Novo Paciente")))))))))))</f>
        <v/>
      </c>
      <c r="S85" s="4"/>
      <c r="T85" s="10" t="str">
        <f aca="false">IF(A85="","",SUMPRODUCT(($R$2:R85=R85)*($A$2:A85&lt;&gt;"")))</f>
        <v/>
      </c>
      <c r="U85" s="10" t="str">
        <f aca="false">IF(A85="","",R85&amp;"|"&amp;T85)</f>
        <v/>
      </c>
      <c r="V85" s="10" t="str">
        <f aca="false">IF(G85="","",TEXT(G85,"mm/yyyy"))</f>
        <v/>
      </c>
      <c r="W85" s="10" t="str">
        <f aca="false">IF(P85="","",TEXT(P85,"mm/yyyy"))</f>
        <v/>
      </c>
      <c r="X85" s="10" t="str">
        <f aca="false">IF(A85="","",IF(OR(R85="Fechado (Total)",R85="Fechado (Parcial)"),"Fechado|"&amp;SUMPRODUCT((($R$2:R85="Fechado (Total)")+($R$2:R85="Fechado (Parcial)"))*($A$2:A85&lt;&gt;"")),""))</f>
        <v/>
      </c>
      <c r="Y85" s="10" t="str">
        <f aca="false">IF(A85="","",IF(D85="Indicação",SUMPRODUCT(($D$2:D85="Indicação")*($A$2:A85&lt;&gt;"")),""))</f>
        <v/>
      </c>
      <c r="Z85" s="10" t="str">
        <f aca="false">IF(Y85="","","Indicacao|"&amp;Y85)</f>
        <v/>
      </c>
      <c r="AA85" s="10" t="str">
        <f aca="false">IF(I85="","",TEXT(I85,"mm/yyyy"))</f>
        <v/>
      </c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8"/>
      <c r="H86" s="6"/>
      <c r="I86" s="8"/>
      <c r="J86" s="6"/>
      <c r="K86" s="6"/>
      <c r="L86" s="6"/>
      <c r="M86" s="7"/>
      <c r="N86" s="6"/>
      <c r="O86" s="7"/>
      <c r="P86" s="8"/>
      <c r="Q86" s="4"/>
      <c r="R86" s="9" t="str">
        <f aca="false">IF(N86="Sim","Fechado (Total)",IF(N86="Parcial","Fechado (Parcial)",IF(N86="Não","Perdido",IF(N86="Pendente","Pendente",IF(N86="Não precisa no momento","Não Precisa no Momento",IF(L86="Sim","Plano de Tratamento",IF(J86="Não","Não Compareceu",IF(J86="Sim","Compareceu",IF(H86="Não","Perdido",IF(H86="Sim","Consulta Marcada",IF(A86="","","Novo Paciente")))))))))))</f>
        <v/>
      </c>
      <c r="S86" s="4"/>
      <c r="T86" s="10" t="str">
        <f aca="false">IF(A86="","",SUMPRODUCT(($R$2:R86=R86)*($A$2:A86&lt;&gt;"")))</f>
        <v/>
      </c>
      <c r="U86" s="10" t="str">
        <f aca="false">IF(A86="","",R86&amp;"|"&amp;T86)</f>
        <v/>
      </c>
      <c r="V86" s="10" t="str">
        <f aca="false">IF(G86="","",TEXT(G86,"mm/yyyy"))</f>
        <v/>
      </c>
      <c r="W86" s="10" t="str">
        <f aca="false">IF(P86="","",TEXT(P86,"mm/yyyy"))</f>
        <v/>
      </c>
      <c r="X86" s="10" t="str">
        <f aca="false">IF(A86="","",IF(OR(R86="Fechado (Total)",R86="Fechado (Parcial)"),"Fechado|"&amp;SUMPRODUCT((($R$2:R86="Fechado (Total)")+($R$2:R86="Fechado (Parcial)"))*($A$2:A86&lt;&gt;"")),""))</f>
        <v/>
      </c>
      <c r="Y86" s="10" t="str">
        <f aca="false">IF(A86="","",IF(D86="Indicação",SUMPRODUCT(($D$2:D86="Indicação")*($A$2:A86&lt;&gt;"")),""))</f>
        <v/>
      </c>
      <c r="Z86" s="10" t="str">
        <f aca="false">IF(Y86="","","Indicacao|"&amp;Y86)</f>
        <v/>
      </c>
      <c r="AA86" s="10" t="str">
        <f aca="false">IF(I86="","",TEXT(I86,"mm/yyyy"))</f>
        <v/>
      </c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8"/>
      <c r="H87" s="6"/>
      <c r="I87" s="8"/>
      <c r="J87" s="6"/>
      <c r="K87" s="6"/>
      <c r="L87" s="6"/>
      <c r="M87" s="7"/>
      <c r="N87" s="6"/>
      <c r="O87" s="7"/>
      <c r="P87" s="8"/>
      <c r="Q87" s="4"/>
      <c r="R87" s="9" t="str">
        <f aca="false">IF(N87="Sim","Fechado (Total)",IF(N87="Parcial","Fechado (Parcial)",IF(N87="Não","Perdido",IF(N87="Pendente","Pendente",IF(N87="Não precisa no momento","Não Precisa no Momento",IF(L87="Sim","Plano de Tratamento",IF(J87="Não","Não Compareceu",IF(J87="Sim","Compareceu",IF(H87="Não","Perdido",IF(H87="Sim","Consulta Marcada",IF(A87="","","Novo Paciente")))))))))))</f>
        <v/>
      </c>
      <c r="S87" s="4"/>
      <c r="T87" s="10" t="str">
        <f aca="false">IF(A87="","",SUMPRODUCT(($R$2:R87=R87)*($A$2:A87&lt;&gt;"")))</f>
        <v/>
      </c>
      <c r="U87" s="10" t="str">
        <f aca="false">IF(A87="","",R87&amp;"|"&amp;T87)</f>
        <v/>
      </c>
      <c r="V87" s="10" t="str">
        <f aca="false">IF(G87="","",TEXT(G87,"mm/yyyy"))</f>
        <v/>
      </c>
      <c r="W87" s="10" t="str">
        <f aca="false">IF(P87="","",TEXT(P87,"mm/yyyy"))</f>
        <v/>
      </c>
      <c r="X87" s="10" t="str">
        <f aca="false">IF(A87="","",IF(OR(R87="Fechado (Total)",R87="Fechado (Parcial)"),"Fechado|"&amp;SUMPRODUCT((($R$2:R87="Fechado (Total)")+($R$2:R87="Fechado (Parcial)"))*($A$2:A87&lt;&gt;"")),""))</f>
        <v/>
      </c>
      <c r="Y87" s="10" t="str">
        <f aca="false">IF(A87="","",IF(D87="Indicação",SUMPRODUCT(($D$2:D87="Indicação")*($A$2:A87&lt;&gt;"")),""))</f>
        <v/>
      </c>
      <c r="Z87" s="10" t="str">
        <f aca="false">IF(Y87="","","Indicacao|"&amp;Y87)</f>
        <v/>
      </c>
      <c r="AA87" s="10" t="str">
        <f aca="false">IF(I87="","",TEXT(I87,"mm/yyyy"))</f>
        <v/>
      </c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8"/>
      <c r="H88" s="6"/>
      <c r="I88" s="8"/>
      <c r="J88" s="6"/>
      <c r="K88" s="6"/>
      <c r="L88" s="6"/>
      <c r="M88" s="7"/>
      <c r="N88" s="6"/>
      <c r="O88" s="7"/>
      <c r="P88" s="8"/>
      <c r="Q88" s="4"/>
      <c r="R88" s="9" t="str">
        <f aca="false">IF(N88="Sim","Fechado (Total)",IF(N88="Parcial","Fechado (Parcial)",IF(N88="Não","Perdido",IF(N88="Pendente","Pendente",IF(N88="Não precisa no momento","Não Precisa no Momento",IF(L88="Sim","Plano de Tratamento",IF(J88="Não","Não Compareceu",IF(J88="Sim","Compareceu",IF(H88="Não","Perdido",IF(H88="Sim","Consulta Marcada",IF(A88="","","Novo Paciente")))))))))))</f>
        <v/>
      </c>
      <c r="S88" s="4"/>
      <c r="T88" s="10" t="str">
        <f aca="false">IF(A88="","",SUMPRODUCT(($R$2:R88=R88)*($A$2:A88&lt;&gt;"")))</f>
        <v/>
      </c>
      <c r="U88" s="10" t="str">
        <f aca="false">IF(A88="","",R88&amp;"|"&amp;T88)</f>
        <v/>
      </c>
      <c r="V88" s="10" t="str">
        <f aca="false">IF(G88="","",TEXT(G88,"mm/yyyy"))</f>
        <v/>
      </c>
      <c r="W88" s="10" t="str">
        <f aca="false">IF(P88="","",TEXT(P88,"mm/yyyy"))</f>
        <v/>
      </c>
      <c r="X88" s="10" t="str">
        <f aca="false">IF(A88="","",IF(OR(R88="Fechado (Total)",R88="Fechado (Parcial)"),"Fechado|"&amp;SUMPRODUCT((($R$2:R88="Fechado (Total)")+($R$2:R88="Fechado (Parcial)"))*($A$2:A88&lt;&gt;"")),""))</f>
        <v/>
      </c>
      <c r="Y88" s="10" t="str">
        <f aca="false">IF(A88="","",IF(D88="Indicação",SUMPRODUCT(($D$2:D88="Indicação")*($A$2:A88&lt;&gt;"")),""))</f>
        <v/>
      </c>
      <c r="Z88" s="10" t="str">
        <f aca="false">IF(Y88="","","Indicacao|"&amp;Y88)</f>
        <v/>
      </c>
      <c r="AA88" s="10" t="str">
        <f aca="false">IF(I88="","",TEXT(I88,"mm/yyyy"))</f>
        <v/>
      </c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8"/>
      <c r="H89" s="6"/>
      <c r="I89" s="8"/>
      <c r="J89" s="6"/>
      <c r="K89" s="6"/>
      <c r="L89" s="6"/>
      <c r="M89" s="7"/>
      <c r="N89" s="6"/>
      <c r="O89" s="7"/>
      <c r="P89" s="8"/>
      <c r="Q89" s="4"/>
      <c r="R89" s="9" t="str">
        <f aca="false">IF(N89="Sim","Fechado (Total)",IF(N89="Parcial","Fechado (Parcial)",IF(N89="Não","Perdido",IF(N89="Pendente","Pendente",IF(N89="Não precisa no momento","Não Precisa no Momento",IF(L89="Sim","Plano de Tratamento",IF(J89="Não","Não Compareceu",IF(J89="Sim","Compareceu",IF(H89="Não","Perdido",IF(H89="Sim","Consulta Marcada",IF(A89="","","Novo Paciente")))))))))))</f>
        <v/>
      </c>
      <c r="S89" s="4"/>
      <c r="T89" s="10" t="str">
        <f aca="false">IF(A89="","",SUMPRODUCT(($R$2:R89=R89)*($A$2:A89&lt;&gt;"")))</f>
        <v/>
      </c>
      <c r="U89" s="10" t="str">
        <f aca="false">IF(A89="","",R89&amp;"|"&amp;T89)</f>
        <v/>
      </c>
      <c r="V89" s="10" t="str">
        <f aca="false">IF(G89="","",TEXT(G89,"mm/yyyy"))</f>
        <v/>
      </c>
      <c r="W89" s="10" t="str">
        <f aca="false">IF(P89="","",TEXT(P89,"mm/yyyy"))</f>
        <v/>
      </c>
      <c r="X89" s="10" t="str">
        <f aca="false">IF(A89="","",IF(OR(R89="Fechado (Total)",R89="Fechado (Parcial)"),"Fechado|"&amp;SUMPRODUCT((($R$2:R89="Fechado (Total)")+($R$2:R89="Fechado (Parcial)"))*($A$2:A89&lt;&gt;"")),""))</f>
        <v/>
      </c>
      <c r="Y89" s="10" t="str">
        <f aca="false">IF(A89="","",IF(D89="Indicação",SUMPRODUCT(($D$2:D89="Indicação")*($A$2:A89&lt;&gt;"")),""))</f>
        <v/>
      </c>
      <c r="Z89" s="10" t="str">
        <f aca="false">IF(Y89="","","Indicacao|"&amp;Y89)</f>
        <v/>
      </c>
      <c r="AA89" s="10" t="str">
        <f aca="false">IF(I89="","",TEXT(I89,"mm/yyyy"))</f>
        <v/>
      </c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8"/>
      <c r="H90" s="6"/>
      <c r="I90" s="8"/>
      <c r="J90" s="6"/>
      <c r="K90" s="6"/>
      <c r="L90" s="6"/>
      <c r="M90" s="7"/>
      <c r="N90" s="6"/>
      <c r="O90" s="7"/>
      <c r="P90" s="8"/>
      <c r="Q90" s="4"/>
      <c r="R90" s="9" t="str">
        <f aca="false">IF(N90="Sim","Fechado (Total)",IF(N90="Parcial","Fechado (Parcial)",IF(N90="Não","Perdido",IF(N90="Pendente","Pendente",IF(N90="Não precisa no momento","Não Precisa no Momento",IF(L90="Sim","Plano de Tratamento",IF(J90="Não","Não Compareceu",IF(J90="Sim","Compareceu",IF(H90="Não","Perdido",IF(H90="Sim","Consulta Marcada",IF(A90="","","Novo Paciente")))))))))))</f>
        <v/>
      </c>
      <c r="S90" s="4"/>
      <c r="T90" s="10" t="str">
        <f aca="false">IF(A90="","",SUMPRODUCT(($R$2:R90=R90)*($A$2:A90&lt;&gt;"")))</f>
        <v/>
      </c>
      <c r="U90" s="10" t="str">
        <f aca="false">IF(A90="","",R90&amp;"|"&amp;T90)</f>
        <v/>
      </c>
      <c r="V90" s="10" t="str">
        <f aca="false">IF(G90="","",TEXT(G90,"mm/yyyy"))</f>
        <v/>
      </c>
      <c r="W90" s="10" t="str">
        <f aca="false">IF(P90="","",TEXT(P90,"mm/yyyy"))</f>
        <v/>
      </c>
      <c r="X90" s="10" t="str">
        <f aca="false">IF(A90="","",IF(OR(R90="Fechado (Total)",R90="Fechado (Parcial)"),"Fechado|"&amp;SUMPRODUCT((($R$2:R90="Fechado (Total)")+($R$2:R90="Fechado (Parcial)"))*($A$2:A90&lt;&gt;"")),""))</f>
        <v/>
      </c>
      <c r="Y90" s="10" t="str">
        <f aca="false">IF(A90="","",IF(D90="Indicação",SUMPRODUCT(($D$2:D90="Indicação")*($A$2:A90&lt;&gt;"")),""))</f>
        <v/>
      </c>
      <c r="Z90" s="10" t="str">
        <f aca="false">IF(Y90="","","Indicacao|"&amp;Y90)</f>
        <v/>
      </c>
      <c r="AA90" s="10" t="str">
        <f aca="false">IF(I90="","",TEXT(I90,"mm/yyyy"))</f>
        <v/>
      </c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8"/>
      <c r="H91" s="6"/>
      <c r="I91" s="8"/>
      <c r="J91" s="6"/>
      <c r="K91" s="6"/>
      <c r="L91" s="6"/>
      <c r="M91" s="7"/>
      <c r="N91" s="6"/>
      <c r="O91" s="7"/>
      <c r="P91" s="8"/>
      <c r="Q91" s="4"/>
      <c r="R91" s="9" t="str">
        <f aca="false">IF(N91="Sim","Fechado (Total)",IF(N91="Parcial","Fechado (Parcial)",IF(N91="Não","Perdido",IF(N91="Pendente","Pendente",IF(N91="Não precisa no momento","Não Precisa no Momento",IF(L91="Sim","Plano de Tratamento",IF(J91="Não","Não Compareceu",IF(J91="Sim","Compareceu",IF(H91="Não","Perdido",IF(H91="Sim","Consulta Marcada",IF(A91="","","Novo Paciente")))))))))))</f>
        <v/>
      </c>
      <c r="S91" s="4"/>
      <c r="T91" s="10" t="str">
        <f aca="false">IF(A91="","",SUMPRODUCT(($R$2:R91=R91)*($A$2:A91&lt;&gt;"")))</f>
        <v/>
      </c>
      <c r="U91" s="10" t="str">
        <f aca="false">IF(A91="","",R91&amp;"|"&amp;T91)</f>
        <v/>
      </c>
      <c r="V91" s="10" t="str">
        <f aca="false">IF(G91="","",TEXT(G91,"mm/yyyy"))</f>
        <v/>
      </c>
      <c r="W91" s="10" t="str">
        <f aca="false">IF(P91="","",TEXT(P91,"mm/yyyy"))</f>
        <v/>
      </c>
      <c r="X91" s="10" t="str">
        <f aca="false">IF(A91="","",IF(OR(R91="Fechado (Total)",R91="Fechado (Parcial)"),"Fechado|"&amp;SUMPRODUCT((($R$2:R91="Fechado (Total)")+($R$2:R91="Fechado (Parcial)"))*($A$2:A91&lt;&gt;"")),""))</f>
        <v/>
      </c>
      <c r="Y91" s="10" t="str">
        <f aca="false">IF(A91="","",IF(D91="Indicação",SUMPRODUCT(($D$2:D91="Indicação")*($A$2:A91&lt;&gt;"")),""))</f>
        <v/>
      </c>
      <c r="Z91" s="10" t="str">
        <f aca="false">IF(Y91="","","Indicacao|"&amp;Y91)</f>
        <v/>
      </c>
      <c r="AA91" s="10" t="str">
        <f aca="false">IF(I91="","",TEXT(I91,"mm/yyyy"))</f>
        <v/>
      </c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8"/>
      <c r="H92" s="6"/>
      <c r="I92" s="8"/>
      <c r="J92" s="6"/>
      <c r="K92" s="6"/>
      <c r="L92" s="6"/>
      <c r="M92" s="7"/>
      <c r="N92" s="6"/>
      <c r="O92" s="7"/>
      <c r="P92" s="8"/>
      <c r="Q92" s="4"/>
      <c r="R92" s="9" t="str">
        <f aca="false">IF(N92="Sim","Fechado (Total)",IF(N92="Parcial","Fechado (Parcial)",IF(N92="Não","Perdido",IF(N92="Pendente","Pendente",IF(N92="Não precisa no momento","Não Precisa no Momento",IF(L92="Sim","Plano de Tratamento",IF(J92="Não","Não Compareceu",IF(J92="Sim","Compareceu",IF(H92="Não","Perdido",IF(H92="Sim","Consulta Marcada",IF(A92="","","Novo Paciente")))))))))))</f>
        <v/>
      </c>
      <c r="S92" s="4"/>
      <c r="T92" s="10" t="str">
        <f aca="false">IF(A92="","",SUMPRODUCT(($R$2:R92=R92)*($A$2:A92&lt;&gt;"")))</f>
        <v/>
      </c>
      <c r="U92" s="10" t="str">
        <f aca="false">IF(A92="","",R92&amp;"|"&amp;T92)</f>
        <v/>
      </c>
      <c r="V92" s="10" t="str">
        <f aca="false">IF(G92="","",TEXT(G92,"mm/yyyy"))</f>
        <v/>
      </c>
      <c r="W92" s="10" t="str">
        <f aca="false">IF(P92="","",TEXT(P92,"mm/yyyy"))</f>
        <v/>
      </c>
      <c r="X92" s="10" t="str">
        <f aca="false">IF(A92="","",IF(OR(R92="Fechado (Total)",R92="Fechado (Parcial)"),"Fechado|"&amp;SUMPRODUCT((($R$2:R92="Fechado (Total)")+($R$2:R92="Fechado (Parcial)"))*($A$2:A92&lt;&gt;"")),""))</f>
        <v/>
      </c>
      <c r="Y92" s="10" t="str">
        <f aca="false">IF(A92="","",IF(D92="Indicação",SUMPRODUCT(($D$2:D92="Indicação")*($A$2:A92&lt;&gt;"")),""))</f>
        <v/>
      </c>
      <c r="Z92" s="10" t="str">
        <f aca="false">IF(Y92="","","Indicacao|"&amp;Y92)</f>
        <v/>
      </c>
      <c r="AA92" s="10" t="str">
        <f aca="false">IF(I92="","",TEXT(I92,"mm/yyyy"))</f>
        <v/>
      </c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8"/>
      <c r="H93" s="6"/>
      <c r="I93" s="8"/>
      <c r="J93" s="6"/>
      <c r="K93" s="6"/>
      <c r="L93" s="6"/>
      <c r="M93" s="7"/>
      <c r="N93" s="6"/>
      <c r="O93" s="7"/>
      <c r="P93" s="8"/>
      <c r="Q93" s="4"/>
      <c r="R93" s="9" t="str">
        <f aca="false">IF(N93="Sim","Fechado (Total)",IF(N93="Parcial","Fechado (Parcial)",IF(N93="Não","Perdido",IF(N93="Pendente","Pendente",IF(N93="Não precisa no momento","Não Precisa no Momento",IF(L93="Sim","Plano de Tratamento",IF(J93="Não","Não Compareceu",IF(J93="Sim","Compareceu",IF(H93="Não","Perdido",IF(H93="Sim","Consulta Marcada",IF(A93="","","Novo Paciente")))))))))))</f>
        <v/>
      </c>
      <c r="S93" s="4"/>
      <c r="T93" s="10" t="str">
        <f aca="false">IF(A93="","",SUMPRODUCT(($R$2:R93=R93)*($A$2:A93&lt;&gt;"")))</f>
        <v/>
      </c>
      <c r="U93" s="10" t="str">
        <f aca="false">IF(A93="","",R93&amp;"|"&amp;T93)</f>
        <v/>
      </c>
      <c r="V93" s="10" t="str">
        <f aca="false">IF(G93="","",TEXT(G93,"mm/yyyy"))</f>
        <v/>
      </c>
      <c r="W93" s="10" t="str">
        <f aca="false">IF(P93="","",TEXT(P93,"mm/yyyy"))</f>
        <v/>
      </c>
      <c r="X93" s="10" t="str">
        <f aca="false">IF(A93="","",IF(OR(R93="Fechado (Total)",R93="Fechado (Parcial)"),"Fechado|"&amp;SUMPRODUCT((($R$2:R93="Fechado (Total)")+($R$2:R93="Fechado (Parcial)"))*($A$2:A93&lt;&gt;"")),""))</f>
        <v/>
      </c>
      <c r="Y93" s="10" t="str">
        <f aca="false">IF(A93="","",IF(D93="Indicação",SUMPRODUCT(($D$2:D93="Indicação")*($A$2:A93&lt;&gt;"")),""))</f>
        <v/>
      </c>
      <c r="Z93" s="10" t="str">
        <f aca="false">IF(Y93="","","Indicacao|"&amp;Y93)</f>
        <v/>
      </c>
      <c r="AA93" s="10" t="str">
        <f aca="false">IF(I93="","",TEXT(I93,"mm/yyyy"))</f>
        <v/>
      </c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8"/>
      <c r="H94" s="6"/>
      <c r="I94" s="8"/>
      <c r="J94" s="6"/>
      <c r="K94" s="6"/>
      <c r="L94" s="6"/>
      <c r="M94" s="7"/>
      <c r="N94" s="6"/>
      <c r="O94" s="7"/>
      <c r="P94" s="8"/>
      <c r="Q94" s="4"/>
      <c r="R94" s="9" t="str">
        <f aca="false">IF(N94="Sim","Fechado (Total)",IF(N94="Parcial","Fechado (Parcial)",IF(N94="Não","Perdido",IF(N94="Pendente","Pendente",IF(N94="Não precisa no momento","Não Precisa no Momento",IF(L94="Sim","Plano de Tratamento",IF(J94="Não","Não Compareceu",IF(J94="Sim","Compareceu",IF(H94="Não","Perdido",IF(H94="Sim","Consulta Marcada",IF(A94="","","Novo Paciente")))))))))))</f>
        <v/>
      </c>
      <c r="S94" s="4"/>
      <c r="T94" s="10" t="str">
        <f aca="false">IF(A94="","",SUMPRODUCT(($R$2:R94=R94)*($A$2:A94&lt;&gt;"")))</f>
        <v/>
      </c>
      <c r="U94" s="10" t="str">
        <f aca="false">IF(A94="","",R94&amp;"|"&amp;T94)</f>
        <v/>
      </c>
      <c r="V94" s="10" t="str">
        <f aca="false">IF(G94="","",TEXT(G94,"mm/yyyy"))</f>
        <v/>
      </c>
      <c r="W94" s="10" t="str">
        <f aca="false">IF(P94="","",TEXT(P94,"mm/yyyy"))</f>
        <v/>
      </c>
      <c r="X94" s="10" t="str">
        <f aca="false">IF(A94="","",IF(OR(R94="Fechado (Total)",R94="Fechado (Parcial)"),"Fechado|"&amp;SUMPRODUCT((($R$2:R94="Fechado (Total)")+($R$2:R94="Fechado (Parcial)"))*($A$2:A94&lt;&gt;"")),""))</f>
        <v/>
      </c>
      <c r="Y94" s="10" t="str">
        <f aca="false">IF(A94="","",IF(D94="Indicação",SUMPRODUCT(($D$2:D94="Indicação")*($A$2:A94&lt;&gt;"")),""))</f>
        <v/>
      </c>
      <c r="Z94" s="10" t="str">
        <f aca="false">IF(Y94="","","Indicacao|"&amp;Y94)</f>
        <v/>
      </c>
      <c r="AA94" s="10" t="str">
        <f aca="false">IF(I94="","",TEXT(I94,"mm/yyyy"))</f>
        <v/>
      </c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8"/>
      <c r="H95" s="6"/>
      <c r="I95" s="8"/>
      <c r="J95" s="6"/>
      <c r="K95" s="6"/>
      <c r="L95" s="6"/>
      <c r="M95" s="7"/>
      <c r="N95" s="6"/>
      <c r="O95" s="7"/>
      <c r="P95" s="8"/>
      <c r="Q95" s="4"/>
      <c r="R95" s="9" t="str">
        <f aca="false">IF(N95="Sim","Fechado (Total)",IF(N95="Parcial","Fechado (Parcial)",IF(N95="Não","Perdido",IF(N95="Pendente","Pendente",IF(N95="Não precisa no momento","Não Precisa no Momento",IF(L95="Sim","Plano de Tratamento",IF(J95="Não","Não Compareceu",IF(J95="Sim","Compareceu",IF(H95="Não","Perdido",IF(H95="Sim","Consulta Marcada",IF(A95="","","Novo Paciente")))))))))))</f>
        <v/>
      </c>
      <c r="S95" s="4"/>
      <c r="T95" s="10" t="str">
        <f aca="false">IF(A95="","",SUMPRODUCT(($R$2:R95=R95)*($A$2:A95&lt;&gt;"")))</f>
        <v/>
      </c>
      <c r="U95" s="10" t="str">
        <f aca="false">IF(A95="","",R95&amp;"|"&amp;T95)</f>
        <v/>
      </c>
      <c r="V95" s="10" t="str">
        <f aca="false">IF(G95="","",TEXT(G95,"mm/yyyy"))</f>
        <v/>
      </c>
      <c r="W95" s="10" t="str">
        <f aca="false">IF(P95="","",TEXT(P95,"mm/yyyy"))</f>
        <v/>
      </c>
      <c r="X95" s="10" t="str">
        <f aca="false">IF(A95="","",IF(OR(R95="Fechado (Total)",R95="Fechado (Parcial)"),"Fechado|"&amp;SUMPRODUCT((($R$2:R95="Fechado (Total)")+($R$2:R95="Fechado (Parcial)"))*($A$2:A95&lt;&gt;"")),""))</f>
        <v/>
      </c>
      <c r="Y95" s="10" t="str">
        <f aca="false">IF(A95="","",IF(D95="Indicação",SUMPRODUCT(($D$2:D95="Indicação")*($A$2:A95&lt;&gt;"")),""))</f>
        <v/>
      </c>
      <c r="Z95" s="10" t="str">
        <f aca="false">IF(Y95="","","Indicacao|"&amp;Y95)</f>
        <v/>
      </c>
      <c r="AA95" s="10" t="str">
        <f aca="false">IF(I95="","",TEXT(I95,"mm/yyyy"))</f>
        <v/>
      </c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8"/>
      <c r="H96" s="6"/>
      <c r="I96" s="8"/>
      <c r="J96" s="6"/>
      <c r="K96" s="6"/>
      <c r="L96" s="6"/>
      <c r="M96" s="7"/>
      <c r="N96" s="6"/>
      <c r="O96" s="7"/>
      <c r="P96" s="8"/>
      <c r="Q96" s="4"/>
      <c r="R96" s="9" t="str">
        <f aca="false">IF(N96="Sim","Fechado (Total)",IF(N96="Parcial","Fechado (Parcial)",IF(N96="Não","Perdido",IF(N96="Pendente","Pendente",IF(N96="Não precisa no momento","Não Precisa no Momento",IF(L96="Sim","Plano de Tratamento",IF(J96="Não","Não Compareceu",IF(J96="Sim","Compareceu",IF(H96="Não","Perdido",IF(H96="Sim","Consulta Marcada",IF(A96="","","Novo Paciente")))))))))))</f>
        <v/>
      </c>
      <c r="S96" s="4"/>
      <c r="T96" s="10" t="str">
        <f aca="false">IF(A96="","",SUMPRODUCT(($R$2:R96=R96)*($A$2:A96&lt;&gt;"")))</f>
        <v/>
      </c>
      <c r="U96" s="10" t="str">
        <f aca="false">IF(A96="","",R96&amp;"|"&amp;T96)</f>
        <v/>
      </c>
      <c r="V96" s="10" t="str">
        <f aca="false">IF(G96="","",TEXT(G96,"mm/yyyy"))</f>
        <v/>
      </c>
      <c r="W96" s="10" t="str">
        <f aca="false">IF(P96="","",TEXT(P96,"mm/yyyy"))</f>
        <v/>
      </c>
      <c r="X96" s="10" t="str">
        <f aca="false">IF(A96="","",IF(OR(R96="Fechado (Total)",R96="Fechado (Parcial)"),"Fechado|"&amp;SUMPRODUCT((($R$2:R96="Fechado (Total)")+($R$2:R96="Fechado (Parcial)"))*($A$2:A96&lt;&gt;"")),""))</f>
        <v/>
      </c>
      <c r="Y96" s="10" t="str">
        <f aca="false">IF(A96="","",IF(D96="Indicação",SUMPRODUCT(($D$2:D96="Indicação")*($A$2:A96&lt;&gt;"")),""))</f>
        <v/>
      </c>
      <c r="Z96" s="10" t="str">
        <f aca="false">IF(Y96="","","Indicacao|"&amp;Y96)</f>
        <v/>
      </c>
      <c r="AA96" s="10" t="str">
        <f aca="false">IF(I96="","",TEXT(I96,"mm/yyyy"))</f>
        <v/>
      </c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8"/>
      <c r="H97" s="6"/>
      <c r="I97" s="8"/>
      <c r="J97" s="6"/>
      <c r="K97" s="6"/>
      <c r="L97" s="6"/>
      <c r="M97" s="7"/>
      <c r="N97" s="6"/>
      <c r="O97" s="7"/>
      <c r="P97" s="8"/>
      <c r="Q97" s="4"/>
      <c r="R97" s="9" t="str">
        <f aca="false">IF(N97="Sim","Fechado (Total)",IF(N97="Parcial","Fechado (Parcial)",IF(N97="Não","Perdido",IF(N97="Pendente","Pendente",IF(N97="Não precisa no momento","Não Precisa no Momento",IF(L97="Sim","Plano de Tratamento",IF(J97="Não","Não Compareceu",IF(J97="Sim","Compareceu",IF(H97="Não","Perdido",IF(H97="Sim","Consulta Marcada",IF(A97="","","Novo Paciente")))))))))))</f>
        <v/>
      </c>
      <c r="S97" s="4"/>
      <c r="T97" s="10" t="str">
        <f aca="false">IF(A97="","",SUMPRODUCT(($R$2:R97=R97)*($A$2:A97&lt;&gt;"")))</f>
        <v/>
      </c>
      <c r="U97" s="10" t="str">
        <f aca="false">IF(A97="","",R97&amp;"|"&amp;T97)</f>
        <v/>
      </c>
      <c r="V97" s="10" t="str">
        <f aca="false">IF(G97="","",TEXT(G97,"mm/yyyy"))</f>
        <v/>
      </c>
      <c r="W97" s="10" t="str">
        <f aca="false">IF(P97="","",TEXT(P97,"mm/yyyy"))</f>
        <v/>
      </c>
      <c r="X97" s="10" t="str">
        <f aca="false">IF(A97="","",IF(OR(R97="Fechado (Total)",R97="Fechado (Parcial)"),"Fechado|"&amp;SUMPRODUCT((($R$2:R97="Fechado (Total)")+($R$2:R97="Fechado (Parcial)"))*($A$2:A97&lt;&gt;"")),""))</f>
        <v/>
      </c>
      <c r="Y97" s="10" t="str">
        <f aca="false">IF(A97="","",IF(D97="Indicação",SUMPRODUCT(($D$2:D97="Indicação")*($A$2:A97&lt;&gt;"")),""))</f>
        <v/>
      </c>
      <c r="Z97" s="10" t="str">
        <f aca="false">IF(Y97="","","Indicacao|"&amp;Y97)</f>
        <v/>
      </c>
      <c r="AA97" s="10" t="str">
        <f aca="false">IF(I97="","",TEXT(I97,"mm/yyyy"))</f>
        <v/>
      </c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8"/>
      <c r="H98" s="6"/>
      <c r="I98" s="8"/>
      <c r="J98" s="6"/>
      <c r="K98" s="6"/>
      <c r="L98" s="6"/>
      <c r="M98" s="7"/>
      <c r="N98" s="6"/>
      <c r="O98" s="7"/>
      <c r="P98" s="8"/>
      <c r="Q98" s="4"/>
      <c r="R98" s="9" t="str">
        <f aca="false">IF(N98="Sim","Fechado (Total)",IF(N98="Parcial","Fechado (Parcial)",IF(N98="Não","Perdido",IF(N98="Pendente","Pendente",IF(N98="Não precisa no momento","Não Precisa no Momento",IF(L98="Sim","Plano de Tratamento",IF(J98="Não","Não Compareceu",IF(J98="Sim","Compareceu",IF(H98="Não","Perdido",IF(H98="Sim","Consulta Marcada",IF(A98="","","Novo Paciente")))))))))))</f>
        <v/>
      </c>
      <c r="S98" s="4"/>
      <c r="T98" s="10" t="str">
        <f aca="false">IF(A98="","",SUMPRODUCT(($R$2:R98=R98)*($A$2:A98&lt;&gt;"")))</f>
        <v/>
      </c>
      <c r="U98" s="10" t="str">
        <f aca="false">IF(A98="","",R98&amp;"|"&amp;T98)</f>
        <v/>
      </c>
      <c r="V98" s="10" t="str">
        <f aca="false">IF(G98="","",TEXT(G98,"mm/yyyy"))</f>
        <v/>
      </c>
      <c r="W98" s="10" t="str">
        <f aca="false">IF(P98="","",TEXT(P98,"mm/yyyy"))</f>
        <v/>
      </c>
      <c r="X98" s="10" t="str">
        <f aca="false">IF(A98="","",IF(OR(R98="Fechado (Total)",R98="Fechado (Parcial)"),"Fechado|"&amp;SUMPRODUCT((($R$2:R98="Fechado (Total)")+($R$2:R98="Fechado (Parcial)"))*($A$2:A98&lt;&gt;"")),""))</f>
        <v/>
      </c>
      <c r="Y98" s="10" t="str">
        <f aca="false">IF(A98="","",IF(D98="Indicação",SUMPRODUCT(($D$2:D98="Indicação")*($A$2:A98&lt;&gt;"")),""))</f>
        <v/>
      </c>
      <c r="Z98" s="10" t="str">
        <f aca="false">IF(Y98="","","Indicacao|"&amp;Y98)</f>
        <v/>
      </c>
      <c r="AA98" s="10" t="str">
        <f aca="false">IF(I98="","",TEXT(I98,"mm/yyyy"))</f>
        <v/>
      </c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8"/>
      <c r="H99" s="6"/>
      <c r="I99" s="8"/>
      <c r="J99" s="6"/>
      <c r="K99" s="6"/>
      <c r="L99" s="6"/>
      <c r="M99" s="7"/>
      <c r="N99" s="6"/>
      <c r="O99" s="7"/>
      <c r="P99" s="8"/>
      <c r="Q99" s="4"/>
      <c r="R99" s="9" t="str">
        <f aca="false">IF(N99="Sim","Fechado (Total)",IF(N99="Parcial","Fechado (Parcial)",IF(N99="Não","Perdido",IF(N99="Pendente","Pendente",IF(N99="Não precisa no momento","Não Precisa no Momento",IF(L99="Sim","Plano de Tratamento",IF(J99="Não","Não Compareceu",IF(J99="Sim","Compareceu",IF(H99="Não","Perdido",IF(H99="Sim","Consulta Marcada",IF(A99="","","Novo Paciente")))))))))))</f>
        <v/>
      </c>
      <c r="S99" s="4"/>
      <c r="T99" s="10" t="str">
        <f aca="false">IF(A99="","",SUMPRODUCT(($R$2:R99=R99)*($A$2:A99&lt;&gt;"")))</f>
        <v/>
      </c>
      <c r="U99" s="10" t="str">
        <f aca="false">IF(A99="","",R99&amp;"|"&amp;T99)</f>
        <v/>
      </c>
      <c r="V99" s="10" t="str">
        <f aca="false">IF(G99="","",TEXT(G99,"mm/yyyy"))</f>
        <v/>
      </c>
      <c r="W99" s="10" t="str">
        <f aca="false">IF(P99="","",TEXT(P99,"mm/yyyy"))</f>
        <v/>
      </c>
      <c r="X99" s="10" t="str">
        <f aca="false">IF(A99="","",IF(OR(R99="Fechado (Total)",R99="Fechado (Parcial)"),"Fechado|"&amp;SUMPRODUCT((($R$2:R99="Fechado (Total)")+($R$2:R99="Fechado (Parcial)"))*($A$2:A99&lt;&gt;"")),""))</f>
        <v/>
      </c>
      <c r="Y99" s="10" t="str">
        <f aca="false">IF(A99="","",IF(D99="Indicação",SUMPRODUCT(($D$2:D99="Indicação")*($A$2:A99&lt;&gt;"")),""))</f>
        <v/>
      </c>
      <c r="Z99" s="10" t="str">
        <f aca="false">IF(Y99="","","Indicacao|"&amp;Y99)</f>
        <v/>
      </c>
      <c r="AA99" s="10" t="str">
        <f aca="false">IF(I99="","",TEXT(I99,"mm/yyyy"))</f>
        <v/>
      </c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8"/>
      <c r="H100" s="6"/>
      <c r="I100" s="8"/>
      <c r="J100" s="6"/>
      <c r="K100" s="6"/>
      <c r="L100" s="6"/>
      <c r="M100" s="7"/>
      <c r="N100" s="6"/>
      <c r="O100" s="7"/>
      <c r="P100" s="8"/>
      <c r="Q100" s="4"/>
      <c r="R100" s="9" t="str">
        <f aca="false">IF(N100="Sim","Fechado (Total)",IF(N100="Parcial","Fechado (Parcial)",IF(N100="Não","Perdido",IF(N100="Pendente","Pendente",IF(N100="Não precisa no momento","Não Precisa no Momento",IF(L100="Sim","Plano de Tratamento",IF(J100="Não","Não Compareceu",IF(J100="Sim","Compareceu",IF(H100="Não","Perdido",IF(H100="Sim","Consulta Marcada",IF(A100="","","Novo Paciente")))))))))))</f>
        <v/>
      </c>
      <c r="S100" s="4"/>
      <c r="T100" s="10" t="str">
        <f aca="false">IF(A100="","",SUMPRODUCT(($R$2:R100=R100)*($A$2:A100&lt;&gt;"")))</f>
        <v/>
      </c>
      <c r="U100" s="10" t="str">
        <f aca="false">IF(A100="","",R100&amp;"|"&amp;T100)</f>
        <v/>
      </c>
      <c r="V100" s="10" t="str">
        <f aca="false">IF(G100="","",TEXT(G100,"mm/yyyy"))</f>
        <v/>
      </c>
      <c r="W100" s="10" t="str">
        <f aca="false">IF(P100="","",TEXT(P100,"mm/yyyy"))</f>
        <v/>
      </c>
      <c r="X100" s="10" t="str">
        <f aca="false">IF(A100="","",IF(OR(R100="Fechado (Total)",R100="Fechado (Parcial)"),"Fechado|"&amp;SUMPRODUCT((($R$2:R100="Fechado (Total)")+($R$2:R100="Fechado (Parcial)"))*($A$2:A100&lt;&gt;"")),""))</f>
        <v/>
      </c>
      <c r="Y100" s="10" t="str">
        <f aca="false">IF(A100="","",IF(D100="Indicação",SUMPRODUCT(($D$2:D100="Indicação")*($A$2:A100&lt;&gt;"")),""))</f>
        <v/>
      </c>
      <c r="Z100" s="10" t="str">
        <f aca="false">IF(Y100="","","Indicacao|"&amp;Y100)</f>
        <v/>
      </c>
      <c r="AA100" s="10" t="str">
        <f aca="false">IF(I100="","",TEXT(I100,"mm/yyyy"))</f>
        <v/>
      </c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8"/>
      <c r="H101" s="6"/>
      <c r="I101" s="8"/>
      <c r="J101" s="6"/>
      <c r="K101" s="6"/>
      <c r="L101" s="6"/>
      <c r="M101" s="7"/>
      <c r="N101" s="6"/>
      <c r="O101" s="7"/>
      <c r="P101" s="8"/>
      <c r="Q101" s="4"/>
      <c r="R101" s="9" t="str">
        <f aca="false">IF(N101="Sim","Fechado (Total)",IF(N101="Parcial","Fechado (Parcial)",IF(N101="Não","Perdido",IF(N101="Pendente","Pendente",IF(N101="Não precisa no momento","Não Precisa no Momento",IF(L101="Sim","Plano de Tratamento",IF(J101="Não","Não Compareceu",IF(J101="Sim","Compareceu",IF(H101="Não","Perdido",IF(H101="Sim","Consulta Marcada",IF(A101="","","Novo Paciente")))))))))))</f>
        <v/>
      </c>
      <c r="S101" s="4"/>
      <c r="T101" s="10" t="str">
        <f aca="false">IF(A101="","",SUMPRODUCT(($R$2:R101=R101)*($A$2:A101&lt;&gt;"")))</f>
        <v/>
      </c>
      <c r="U101" s="10" t="str">
        <f aca="false">IF(A101="","",R101&amp;"|"&amp;T101)</f>
        <v/>
      </c>
      <c r="V101" s="10" t="str">
        <f aca="false">IF(G101="","",TEXT(G101,"mm/yyyy"))</f>
        <v/>
      </c>
      <c r="W101" s="10" t="str">
        <f aca="false">IF(P101="","",TEXT(P101,"mm/yyyy"))</f>
        <v/>
      </c>
      <c r="X101" s="10" t="str">
        <f aca="false">IF(A101="","",IF(OR(R101="Fechado (Total)",R101="Fechado (Parcial)"),"Fechado|"&amp;SUMPRODUCT((($R$2:R101="Fechado (Total)")+($R$2:R101="Fechado (Parcial)"))*($A$2:A101&lt;&gt;"")),""))</f>
        <v/>
      </c>
      <c r="Y101" s="10" t="str">
        <f aca="false">IF(A101="","",IF(D101="Indicação",SUMPRODUCT(($D$2:D101="Indicação")*($A$2:A101&lt;&gt;"")),""))</f>
        <v/>
      </c>
      <c r="Z101" s="10" t="str">
        <f aca="false">IF(Y101="","","Indicacao|"&amp;Y101)</f>
        <v/>
      </c>
      <c r="AA101" s="10" t="str">
        <f aca="false">IF(I101="","",TEXT(I101,"mm/yyyy"))</f>
        <v/>
      </c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8"/>
      <c r="H102" s="6"/>
      <c r="I102" s="8"/>
      <c r="J102" s="6"/>
      <c r="K102" s="6"/>
      <c r="L102" s="6"/>
      <c r="M102" s="7"/>
      <c r="N102" s="6"/>
      <c r="O102" s="7"/>
      <c r="P102" s="8"/>
      <c r="Q102" s="4"/>
      <c r="R102" s="9" t="str">
        <f aca="false">IF(N102="Sim","Fechado (Total)",IF(N102="Parcial","Fechado (Parcial)",IF(N102="Não","Perdido",IF(N102="Pendente","Pendente",IF(N102="Não precisa no momento","Não Precisa no Momento",IF(L102="Sim","Plano de Tratamento",IF(J102="Não","Não Compareceu",IF(J102="Sim","Compareceu",IF(H102="Não","Perdido",IF(H102="Sim","Consulta Marcada",IF(A102="","","Novo Paciente")))))))))))</f>
        <v/>
      </c>
      <c r="S102" s="4"/>
      <c r="T102" s="10" t="str">
        <f aca="false">IF(A102="","",SUMPRODUCT(($R$2:R102=R102)*($A$2:A102&lt;&gt;"")))</f>
        <v/>
      </c>
      <c r="U102" s="10" t="str">
        <f aca="false">IF(A102="","",R102&amp;"|"&amp;T102)</f>
        <v/>
      </c>
      <c r="V102" s="10" t="str">
        <f aca="false">IF(G102="","",TEXT(G102,"mm/yyyy"))</f>
        <v/>
      </c>
      <c r="W102" s="10" t="str">
        <f aca="false">IF(P102="","",TEXT(P102,"mm/yyyy"))</f>
        <v/>
      </c>
      <c r="X102" s="10" t="str">
        <f aca="false">IF(A102="","",IF(OR(R102="Fechado (Total)",R102="Fechado (Parcial)"),"Fechado|"&amp;SUMPRODUCT((($R$2:R102="Fechado (Total)")+($R$2:R102="Fechado (Parcial)"))*($A$2:A102&lt;&gt;"")),""))</f>
        <v/>
      </c>
      <c r="Y102" s="10" t="str">
        <f aca="false">IF(A102="","",IF(D102="Indicação",SUMPRODUCT(($D$2:D102="Indicação")*($A$2:A102&lt;&gt;"")),""))</f>
        <v/>
      </c>
      <c r="Z102" s="10" t="str">
        <f aca="false">IF(Y102="","","Indicacao|"&amp;Y102)</f>
        <v/>
      </c>
      <c r="AA102" s="10" t="str">
        <f aca="false">IF(I102="","",TEXT(I102,"mm/yyyy"))</f>
        <v/>
      </c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8"/>
      <c r="H103" s="6"/>
      <c r="I103" s="8"/>
      <c r="J103" s="6"/>
      <c r="K103" s="6"/>
      <c r="L103" s="6"/>
      <c r="M103" s="7"/>
      <c r="N103" s="6"/>
      <c r="O103" s="7"/>
      <c r="P103" s="8"/>
      <c r="Q103" s="4"/>
      <c r="R103" s="9" t="str">
        <f aca="false">IF(N103="Sim","Fechado (Total)",IF(N103="Parcial","Fechado (Parcial)",IF(N103="Não","Perdido",IF(N103="Pendente","Pendente",IF(N103="Não precisa no momento","Não Precisa no Momento",IF(L103="Sim","Plano de Tratamento",IF(J103="Não","Não Compareceu",IF(J103="Sim","Compareceu",IF(H103="Não","Perdido",IF(H103="Sim","Consulta Marcada",IF(A103="","","Novo Paciente")))))))))))</f>
        <v/>
      </c>
      <c r="S103" s="4"/>
      <c r="T103" s="10" t="str">
        <f aca="false">IF(A103="","",SUMPRODUCT(($R$2:R103=R103)*($A$2:A103&lt;&gt;"")))</f>
        <v/>
      </c>
      <c r="U103" s="10" t="str">
        <f aca="false">IF(A103="","",R103&amp;"|"&amp;T103)</f>
        <v/>
      </c>
      <c r="V103" s="10" t="str">
        <f aca="false">IF(G103="","",TEXT(G103,"mm/yyyy"))</f>
        <v/>
      </c>
      <c r="W103" s="10" t="str">
        <f aca="false">IF(P103="","",TEXT(P103,"mm/yyyy"))</f>
        <v/>
      </c>
      <c r="X103" s="10" t="str">
        <f aca="false">IF(A103="","",IF(OR(R103="Fechado (Total)",R103="Fechado (Parcial)"),"Fechado|"&amp;SUMPRODUCT((($R$2:R103="Fechado (Total)")+($R$2:R103="Fechado (Parcial)"))*($A$2:A103&lt;&gt;"")),""))</f>
        <v/>
      </c>
      <c r="Y103" s="10" t="str">
        <f aca="false">IF(A103="","",IF(D103="Indicação",SUMPRODUCT(($D$2:D103="Indicação")*($A$2:A103&lt;&gt;"")),""))</f>
        <v/>
      </c>
      <c r="Z103" s="10" t="str">
        <f aca="false">IF(Y103="","","Indicacao|"&amp;Y103)</f>
        <v/>
      </c>
      <c r="AA103" s="10" t="str">
        <f aca="false">IF(I103="","",TEXT(I103,"mm/yyyy"))</f>
        <v/>
      </c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8"/>
      <c r="H104" s="6"/>
      <c r="I104" s="8"/>
      <c r="J104" s="6"/>
      <c r="K104" s="6"/>
      <c r="L104" s="6"/>
      <c r="M104" s="7"/>
      <c r="N104" s="6"/>
      <c r="O104" s="7"/>
      <c r="P104" s="8"/>
      <c r="Q104" s="4"/>
      <c r="R104" s="9" t="str">
        <f aca="false">IF(N104="Sim","Fechado (Total)",IF(N104="Parcial","Fechado (Parcial)",IF(N104="Não","Perdido",IF(N104="Pendente","Pendente",IF(N104="Não precisa no momento","Não Precisa no Momento",IF(L104="Sim","Plano de Tratamento",IF(J104="Não","Não Compareceu",IF(J104="Sim","Compareceu",IF(H104="Não","Perdido",IF(H104="Sim","Consulta Marcada",IF(A104="","","Novo Paciente")))))))))))</f>
        <v/>
      </c>
      <c r="S104" s="4"/>
      <c r="T104" s="10" t="str">
        <f aca="false">IF(A104="","",SUMPRODUCT(($R$2:R104=R104)*($A$2:A104&lt;&gt;"")))</f>
        <v/>
      </c>
      <c r="U104" s="10" t="str">
        <f aca="false">IF(A104="","",R104&amp;"|"&amp;T104)</f>
        <v/>
      </c>
      <c r="V104" s="10" t="str">
        <f aca="false">IF(G104="","",TEXT(G104,"mm/yyyy"))</f>
        <v/>
      </c>
      <c r="W104" s="10" t="str">
        <f aca="false">IF(P104="","",TEXT(P104,"mm/yyyy"))</f>
        <v/>
      </c>
      <c r="X104" s="10" t="str">
        <f aca="false">IF(A104="","",IF(OR(R104="Fechado (Total)",R104="Fechado (Parcial)"),"Fechado|"&amp;SUMPRODUCT((($R$2:R104="Fechado (Total)")+($R$2:R104="Fechado (Parcial)"))*($A$2:A104&lt;&gt;"")),""))</f>
        <v/>
      </c>
      <c r="Y104" s="10" t="str">
        <f aca="false">IF(A104="","",IF(D104="Indicação",SUMPRODUCT(($D$2:D104="Indicação")*($A$2:A104&lt;&gt;"")),""))</f>
        <v/>
      </c>
      <c r="Z104" s="10" t="str">
        <f aca="false">IF(Y104="","","Indicacao|"&amp;Y104)</f>
        <v/>
      </c>
      <c r="AA104" s="10" t="str">
        <f aca="false">IF(I104="","",TEXT(I104,"mm/yyyy"))</f>
        <v/>
      </c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8"/>
      <c r="H105" s="6"/>
      <c r="I105" s="8"/>
      <c r="J105" s="6"/>
      <c r="K105" s="6"/>
      <c r="L105" s="6"/>
      <c r="M105" s="7"/>
      <c r="N105" s="6"/>
      <c r="O105" s="7"/>
      <c r="P105" s="8"/>
      <c r="Q105" s="4"/>
      <c r="R105" s="9" t="str">
        <f aca="false">IF(N105="Sim","Fechado (Total)",IF(N105="Parcial","Fechado (Parcial)",IF(N105="Não","Perdido",IF(N105="Pendente","Pendente",IF(N105="Não precisa no momento","Não Precisa no Momento",IF(L105="Sim","Plano de Tratamento",IF(J105="Não","Não Compareceu",IF(J105="Sim","Compareceu",IF(H105="Não","Perdido",IF(H105="Sim","Consulta Marcada",IF(A105="","","Novo Paciente")))))))))))</f>
        <v/>
      </c>
      <c r="S105" s="4"/>
      <c r="T105" s="10" t="str">
        <f aca="false">IF(A105="","",SUMPRODUCT(($R$2:R105=R105)*($A$2:A105&lt;&gt;"")))</f>
        <v/>
      </c>
      <c r="U105" s="10" t="str">
        <f aca="false">IF(A105="","",R105&amp;"|"&amp;T105)</f>
        <v/>
      </c>
      <c r="V105" s="10" t="str">
        <f aca="false">IF(G105="","",TEXT(G105,"mm/yyyy"))</f>
        <v/>
      </c>
      <c r="W105" s="10" t="str">
        <f aca="false">IF(P105="","",TEXT(P105,"mm/yyyy"))</f>
        <v/>
      </c>
      <c r="X105" s="10" t="str">
        <f aca="false">IF(A105="","",IF(OR(R105="Fechado (Total)",R105="Fechado (Parcial)"),"Fechado|"&amp;SUMPRODUCT((($R$2:R105="Fechado (Total)")+($R$2:R105="Fechado (Parcial)"))*($A$2:A105&lt;&gt;"")),""))</f>
        <v/>
      </c>
      <c r="Y105" s="10" t="str">
        <f aca="false">IF(A105="","",IF(D105="Indicação",SUMPRODUCT(($D$2:D105="Indicação")*($A$2:A105&lt;&gt;"")),""))</f>
        <v/>
      </c>
      <c r="Z105" s="10" t="str">
        <f aca="false">IF(Y105="","","Indicacao|"&amp;Y105)</f>
        <v/>
      </c>
      <c r="AA105" s="10" t="str">
        <f aca="false">IF(I105="","",TEXT(I105,"mm/yyyy"))</f>
        <v/>
      </c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8"/>
      <c r="H106" s="6"/>
      <c r="I106" s="8"/>
      <c r="J106" s="6"/>
      <c r="K106" s="6"/>
      <c r="L106" s="6"/>
      <c r="M106" s="7"/>
      <c r="N106" s="6"/>
      <c r="O106" s="7"/>
      <c r="P106" s="8"/>
      <c r="Q106" s="4"/>
      <c r="R106" s="9" t="str">
        <f aca="false">IF(N106="Sim","Fechado (Total)",IF(N106="Parcial","Fechado (Parcial)",IF(N106="Não","Perdido",IF(N106="Pendente","Pendente",IF(N106="Não precisa no momento","Não Precisa no Momento",IF(L106="Sim","Plano de Tratamento",IF(J106="Não","Não Compareceu",IF(J106="Sim","Compareceu",IF(H106="Não","Perdido",IF(H106="Sim","Consulta Marcada",IF(A106="","","Novo Paciente")))))))))))</f>
        <v/>
      </c>
      <c r="S106" s="4"/>
      <c r="T106" s="10" t="str">
        <f aca="false">IF(A106="","",SUMPRODUCT(($R$2:R106=R106)*($A$2:A106&lt;&gt;"")))</f>
        <v/>
      </c>
      <c r="U106" s="10" t="str">
        <f aca="false">IF(A106="","",R106&amp;"|"&amp;T106)</f>
        <v/>
      </c>
      <c r="V106" s="10" t="str">
        <f aca="false">IF(G106="","",TEXT(G106,"mm/yyyy"))</f>
        <v/>
      </c>
      <c r="W106" s="10" t="str">
        <f aca="false">IF(P106="","",TEXT(P106,"mm/yyyy"))</f>
        <v/>
      </c>
      <c r="X106" s="10" t="str">
        <f aca="false">IF(A106="","",IF(OR(R106="Fechado (Total)",R106="Fechado (Parcial)"),"Fechado|"&amp;SUMPRODUCT((($R$2:R106="Fechado (Total)")+($R$2:R106="Fechado (Parcial)"))*($A$2:A106&lt;&gt;"")),""))</f>
        <v/>
      </c>
      <c r="Y106" s="10" t="str">
        <f aca="false">IF(A106="","",IF(D106="Indicação",SUMPRODUCT(($D$2:D106="Indicação")*($A$2:A106&lt;&gt;"")),""))</f>
        <v/>
      </c>
      <c r="Z106" s="10" t="str">
        <f aca="false">IF(Y106="","","Indicacao|"&amp;Y106)</f>
        <v/>
      </c>
      <c r="AA106" s="10" t="str">
        <f aca="false">IF(I106="","",TEXT(I106,"mm/yyyy"))</f>
        <v/>
      </c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8"/>
      <c r="H107" s="6"/>
      <c r="I107" s="8"/>
      <c r="J107" s="6"/>
      <c r="K107" s="6"/>
      <c r="L107" s="6"/>
      <c r="M107" s="7"/>
      <c r="N107" s="6"/>
      <c r="O107" s="7"/>
      <c r="P107" s="8"/>
      <c r="Q107" s="4"/>
      <c r="R107" s="9" t="str">
        <f aca="false">IF(N107="Sim","Fechado (Total)",IF(N107="Parcial","Fechado (Parcial)",IF(N107="Não","Perdido",IF(N107="Pendente","Pendente",IF(N107="Não precisa no momento","Não Precisa no Momento",IF(L107="Sim","Plano de Tratamento",IF(J107="Não","Não Compareceu",IF(J107="Sim","Compareceu",IF(H107="Não","Perdido",IF(H107="Sim","Consulta Marcada",IF(A107="","","Novo Paciente")))))))))))</f>
        <v/>
      </c>
      <c r="S107" s="4"/>
      <c r="T107" s="10" t="str">
        <f aca="false">IF(A107="","",SUMPRODUCT(($R$2:R107=R107)*($A$2:A107&lt;&gt;"")))</f>
        <v/>
      </c>
      <c r="U107" s="10" t="str">
        <f aca="false">IF(A107="","",R107&amp;"|"&amp;T107)</f>
        <v/>
      </c>
      <c r="V107" s="10" t="str">
        <f aca="false">IF(G107="","",TEXT(G107,"mm/yyyy"))</f>
        <v/>
      </c>
      <c r="W107" s="10" t="str">
        <f aca="false">IF(P107="","",TEXT(P107,"mm/yyyy"))</f>
        <v/>
      </c>
      <c r="X107" s="10" t="str">
        <f aca="false">IF(A107="","",IF(OR(R107="Fechado (Total)",R107="Fechado (Parcial)"),"Fechado|"&amp;SUMPRODUCT((($R$2:R107="Fechado (Total)")+($R$2:R107="Fechado (Parcial)"))*($A$2:A107&lt;&gt;"")),""))</f>
        <v/>
      </c>
      <c r="Y107" s="10" t="str">
        <f aca="false">IF(A107="","",IF(D107="Indicação",SUMPRODUCT(($D$2:D107="Indicação")*($A$2:A107&lt;&gt;"")),""))</f>
        <v/>
      </c>
      <c r="Z107" s="10" t="str">
        <f aca="false">IF(Y107="","","Indicacao|"&amp;Y107)</f>
        <v/>
      </c>
      <c r="AA107" s="10" t="str">
        <f aca="false">IF(I107="","",TEXT(I107,"mm/yyyy"))</f>
        <v/>
      </c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8"/>
      <c r="H108" s="6"/>
      <c r="I108" s="8"/>
      <c r="J108" s="6"/>
      <c r="K108" s="6"/>
      <c r="L108" s="6"/>
      <c r="M108" s="7"/>
      <c r="N108" s="6"/>
      <c r="O108" s="7"/>
      <c r="P108" s="8"/>
      <c r="Q108" s="4"/>
      <c r="R108" s="9" t="str">
        <f aca="false">IF(N108="Sim","Fechado (Total)",IF(N108="Parcial","Fechado (Parcial)",IF(N108="Não","Perdido",IF(N108="Pendente","Pendente",IF(N108="Não precisa no momento","Não Precisa no Momento",IF(L108="Sim","Plano de Tratamento",IF(J108="Não","Não Compareceu",IF(J108="Sim","Compareceu",IF(H108="Não","Perdido",IF(H108="Sim","Consulta Marcada",IF(A108="","","Novo Paciente")))))))))))</f>
        <v/>
      </c>
      <c r="S108" s="4"/>
      <c r="T108" s="10" t="str">
        <f aca="false">IF(A108="","",SUMPRODUCT(($R$2:R108=R108)*($A$2:A108&lt;&gt;"")))</f>
        <v/>
      </c>
      <c r="U108" s="10" t="str">
        <f aca="false">IF(A108="","",R108&amp;"|"&amp;T108)</f>
        <v/>
      </c>
      <c r="V108" s="10" t="str">
        <f aca="false">IF(G108="","",TEXT(G108,"mm/yyyy"))</f>
        <v/>
      </c>
      <c r="W108" s="10" t="str">
        <f aca="false">IF(P108="","",TEXT(P108,"mm/yyyy"))</f>
        <v/>
      </c>
      <c r="X108" s="10" t="str">
        <f aca="false">IF(A108="","",IF(OR(R108="Fechado (Total)",R108="Fechado (Parcial)"),"Fechado|"&amp;SUMPRODUCT((($R$2:R108="Fechado (Total)")+($R$2:R108="Fechado (Parcial)"))*($A$2:A108&lt;&gt;"")),""))</f>
        <v/>
      </c>
      <c r="Y108" s="10" t="str">
        <f aca="false">IF(A108="","",IF(D108="Indicação",SUMPRODUCT(($D$2:D108="Indicação")*($A$2:A108&lt;&gt;"")),""))</f>
        <v/>
      </c>
      <c r="Z108" s="10" t="str">
        <f aca="false">IF(Y108="","","Indicacao|"&amp;Y108)</f>
        <v/>
      </c>
      <c r="AA108" s="10" t="str">
        <f aca="false">IF(I108="","",TEXT(I108,"mm/yyyy"))</f>
        <v/>
      </c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8"/>
      <c r="H109" s="6"/>
      <c r="I109" s="8"/>
      <c r="J109" s="6"/>
      <c r="K109" s="6"/>
      <c r="L109" s="6"/>
      <c r="M109" s="7"/>
      <c r="N109" s="6"/>
      <c r="O109" s="7"/>
      <c r="P109" s="8"/>
      <c r="Q109" s="4"/>
      <c r="R109" s="9" t="str">
        <f aca="false">IF(N109="Sim","Fechado (Total)",IF(N109="Parcial","Fechado (Parcial)",IF(N109="Não","Perdido",IF(N109="Pendente","Pendente",IF(N109="Não precisa no momento","Não Precisa no Momento",IF(L109="Sim","Plano de Tratamento",IF(J109="Não","Não Compareceu",IF(J109="Sim","Compareceu",IF(H109="Não","Perdido",IF(H109="Sim","Consulta Marcada",IF(A109="","","Novo Paciente")))))))))))</f>
        <v/>
      </c>
      <c r="S109" s="4"/>
      <c r="T109" s="10" t="str">
        <f aca="false">IF(A109="","",SUMPRODUCT(($R$2:R109=R109)*($A$2:A109&lt;&gt;"")))</f>
        <v/>
      </c>
      <c r="U109" s="10" t="str">
        <f aca="false">IF(A109="","",R109&amp;"|"&amp;T109)</f>
        <v/>
      </c>
      <c r="V109" s="10" t="str">
        <f aca="false">IF(G109="","",TEXT(G109,"mm/yyyy"))</f>
        <v/>
      </c>
      <c r="W109" s="10" t="str">
        <f aca="false">IF(P109="","",TEXT(P109,"mm/yyyy"))</f>
        <v/>
      </c>
      <c r="X109" s="10" t="str">
        <f aca="false">IF(A109="","",IF(OR(R109="Fechado (Total)",R109="Fechado (Parcial)"),"Fechado|"&amp;SUMPRODUCT((($R$2:R109="Fechado (Total)")+($R$2:R109="Fechado (Parcial)"))*($A$2:A109&lt;&gt;"")),""))</f>
        <v/>
      </c>
      <c r="Y109" s="10" t="str">
        <f aca="false">IF(A109="","",IF(D109="Indicação",SUMPRODUCT(($D$2:D109="Indicação")*($A$2:A109&lt;&gt;"")),""))</f>
        <v/>
      </c>
      <c r="Z109" s="10" t="str">
        <f aca="false">IF(Y109="","","Indicacao|"&amp;Y109)</f>
        <v/>
      </c>
      <c r="AA109" s="10" t="str">
        <f aca="false">IF(I109="","",TEXT(I109,"mm/yyyy"))</f>
        <v/>
      </c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8"/>
      <c r="H110" s="6"/>
      <c r="I110" s="8"/>
      <c r="J110" s="6"/>
      <c r="K110" s="6"/>
      <c r="L110" s="6"/>
      <c r="M110" s="7"/>
      <c r="N110" s="6"/>
      <c r="O110" s="7"/>
      <c r="P110" s="8"/>
      <c r="Q110" s="4"/>
      <c r="R110" s="9" t="str">
        <f aca="false">IF(N110="Sim","Fechado (Total)",IF(N110="Parcial","Fechado (Parcial)",IF(N110="Não","Perdido",IF(N110="Pendente","Pendente",IF(N110="Não precisa no momento","Não Precisa no Momento",IF(L110="Sim","Plano de Tratamento",IF(J110="Não","Não Compareceu",IF(J110="Sim","Compareceu",IF(H110="Não","Perdido",IF(H110="Sim","Consulta Marcada",IF(A110="","","Novo Paciente")))))))))))</f>
        <v/>
      </c>
      <c r="S110" s="4"/>
      <c r="T110" s="10" t="str">
        <f aca="false">IF(A110="","",SUMPRODUCT(($R$2:R110=R110)*($A$2:A110&lt;&gt;"")))</f>
        <v/>
      </c>
      <c r="U110" s="10" t="str">
        <f aca="false">IF(A110="","",R110&amp;"|"&amp;T110)</f>
        <v/>
      </c>
      <c r="V110" s="10" t="str">
        <f aca="false">IF(G110="","",TEXT(G110,"mm/yyyy"))</f>
        <v/>
      </c>
      <c r="W110" s="10" t="str">
        <f aca="false">IF(P110="","",TEXT(P110,"mm/yyyy"))</f>
        <v/>
      </c>
      <c r="X110" s="10" t="str">
        <f aca="false">IF(A110="","",IF(OR(R110="Fechado (Total)",R110="Fechado (Parcial)"),"Fechado|"&amp;SUMPRODUCT((($R$2:R110="Fechado (Total)")+($R$2:R110="Fechado (Parcial)"))*($A$2:A110&lt;&gt;"")),""))</f>
        <v/>
      </c>
      <c r="Y110" s="10" t="str">
        <f aca="false">IF(A110="","",IF(D110="Indicação",SUMPRODUCT(($D$2:D110="Indicação")*($A$2:A110&lt;&gt;"")),""))</f>
        <v/>
      </c>
      <c r="Z110" s="10" t="str">
        <f aca="false">IF(Y110="","","Indicacao|"&amp;Y110)</f>
        <v/>
      </c>
      <c r="AA110" s="10" t="str">
        <f aca="false">IF(I110="","",TEXT(I110,"mm/yyyy"))</f>
        <v/>
      </c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8"/>
      <c r="H111" s="6"/>
      <c r="I111" s="8"/>
      <c r="J111" s="6"/>
      <c r="K111" s="6"/>
      <c r="L111" s="6"/>
      <c r="M111" s="7"/>
      <c r="N111" s="6"/>
      <c r="O111" s="7"/>
      <c r="P111" s="8"/>
      <c r="Q111" s="4"/>
      <c r="R111" s="9" t="str">
        <f aca="false">IF(N111="Sim","Fechado (Total)",IF(N111="Parcial","Fechado (Parcial)",IF(N111="Não","Perdido",IF(N111="Pendente","Pendente",IF(N111="Não precisa no momento","Não Precisa no Momento",IF(L111="Sim","Plano de Tratamento",IF(J111="Não","Não Compareceu",IF(J111="Sim","Compareceu",IF(H111="Não","Perdido",IF(H111="Sim","Consulta Marcada",IF(A111="","","Novo Paciente")))))))))))</f>
        <v/>
      </c>
      <c r="S111" s="4"/>
      <c r="T111" s="10" t="str">
        <f aca="false">IF(A111="","",SUMPRODUCT(($R$2:R111=R111)*($A$2:A111&lt;&gt;"")))</f>
        <v/>
      </c>
      <c r="U111" s="10" t="str">
        <f aca="false">IF(A111="","",R111&amp;"|"&amp;T111)</f>
        <v/>
      </c>
      <c r="V111" s="10" t="str">
        <f aca="false">IF(G111="","",TEXT(G111,"mm/yyyy"))</f>
        <v/>
      </c>
      <c r="W111" s="10" t="str">
        <f aca="false">IF(P111="","",TEXT(P111,"mm/yyyy"))</f>
        <v/>
      </c>
      <c r="X111" s="10" t="str">
        <f aca="false">IF(A111="","",IF(OR(R111="Fechado (Total)",R111="Fechado (Parcial)"),"Fechado|"&amp;SUMPRODUCT((($R$2:R111="Fechado (Total)")+($R$2:R111="Fechado (Parcial)"))*($A$2:A111&lt;&gt;"")),""))</f>
        <v/>
      </c>
      <c r="Y111" s="10" t="str">
        <f aca="false">IF(A111="","",IF(D111="Indicação",SUMPRODUCT(($D$2:D111="Indicação")*($A$2:A111&lt;&gt;"")),""))</f>
        <v/>
      </c>
      <c r="Z111" s="10" t="str">
        <f aca="false">IF(Y111="","","Indicacao|"&amp;Y111)</f>
        <v/>
      </c>
      <c r="AA111" s="10" t="str">
        <f aca="false">IF(I111="","",TEXT(I111,"mm/yyyy"))</f>
        <v/>
      </c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8"/>
      <c r="H112" s="6"/>
      <c r="I112" s="8"/>
      <c r="J112" s="6"/>
      <c r="K112" s="6"/>
      <c r="L112" s="6"/>
      <c r="M112" s="7"/>
      <c r="N112" s="6"/>
      <c r="O112" s="7"/>
      <c r="P112" s="8"/>
      <c r="Q112" s="4"/>
      <c r="R112" s="9" t="str">
        <f aca="false">IF(N112="Sim","Fechado (Total)",IF(N112="Parcial","Fechado (Parcial)",IF(N112="Não","Perdido",IF(N112="Pendente","Pendente",IF(N112="Não precisa no momento","Não Precisa no Momento",IF(L112="Sim","Plano de Tratamento",IF(J112="Não","Não Compareceu",IF(J112="Sim","Compareceu",IF(H112="Não","Perdido",IF(H112="Sim","Consulta Marcada",IF(A112="","","Novo Paciente")))))))))))</f>
        <v/>
      </c>
      <c r="S112" s="4"/>
      <c r="T112" s="10" t="str">
        <f aca="false">IF(A112="","",SUMPRODUCT(($R$2:R112=R112)*($A$2:A112&lt;&gt;"")))</f>
        <v/>
      </c>
      <c r="U112" s="10" t="str">
        <f aca="false">IF(A112="","",R112&amp;"|"&amp;T112)</f>
        <v/>
      </c>
      <c r="V112" s="10" t="str">
        <f aca="false">IF(G112="","",TEXT(G112,"mm/yyyy"))</f>
        <v/>
      </c>
      <c r="W112" s="10" t="str">
        <f aca="false">IF(P112="","",TEXT(P112,"mm/yyyy"))</f>
        <v/>
      </c>
      <c r="X112" s="10" t="str">
        <f aca="false">IF(A112="","",IF(OR(R112="Fechado (Total)",R112="Fechado (Parcial)"),"Fechado|"&amp;SUMPRODUCT((($R$2:R112="Fechado (Total)")+($R$2:R112="Fechado (Parcial)"))*($A$2:A112&lt;&gt;"")),""))</f>
        <v/>
      </c>
      <c r="Y112" s="10" t="str">
        <f aca="false">IF(A112="","",IF(D112="Indicação",SUMPRODUCT(($D$2:D112="Indicação")*($A$2:A112&lt;&gt;"")),""))</f>
        <v/>
      </c>
      <c r="Z112" s="10" t="str">
        <f aca="false">IF(Y112="","","Indicacao|"&amp;Y112)</f>
        <v/>
      </c>
      <c r="AA112" s="10" t="str">
        <f aca="false">IF(I112="","",TEXT(I112,"mm/yyyy"))</f>
        <v/>
      </c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8"/>
      <c r="H113" s="6"/>
      <c r="I113" s="8"/>
      <c r="J113" s="6"/>
      <c r="K113" s="6"/>
      <c r="L113" s="6"/>
      <c r="M113" s="7"/>
      <c r="N113" s="6"/>
      <c r="O113" s="7"/>
      <c r="P113" s="8"/>
      <c r="Q113" s="4"/>
      <c r="R113" s="9" t="str">
        <f aca="false">IF(N113="Sim","Fechado (Total)",IF(N113="Parcial","Fechado (Parcial)",IF(N113="Não","Perdido",IF(N113="Pendente","Pendente",IF(N113="Não precisa no momento","Não Precisa no Momento",IF(L113="Sim","Plano de Tratamento",IF(J113="Não","Não Compareceu",IF(J113="Sim","Compareceu",IF(H113="Não","Perdido",IF(H113="Sim","Consulta Marcada",IF(A113="","","Novo Paciente")))))))))))</f>
        <v/>
      </c>
      <c r="S113" s="4"/>
      <c r="T113" s="10" t="str">
        <f aca="false">IF(A113="","",SUMPRODUCT(($R$2:R113=R113)*($A$2:A113&lt;&gt;"")))</f>
        <v/>
      </c>
      <c r="U113" s="10" t="str">
        <f aca="false">IF(A113="","",R113&amp;"|"&amp;T113)</f>
        <v/>
      </c>
      <c r="V113" s="10" t="str">
        <f aca="false">IF(G113="","",TEXT(G113,"mm/yyyy"))</f>
        <v/>
      </c>
      <c r="W113" s="10" t="str">
        <f aca="false">IF(P113="","",TEXT(P113,"mm/yyyy"))</f>
        <v/>
      </c>
      <c r="X113" s="10" t="str">
        <f aca="false">IF(A113="","",IF(OR(R113="Fechado (Total)",R113="Fechado (Parcial)"),"Fechado|"&amp;SUMPRODUCT((($R$2:R113="Fechado (Total)")+($R$2:R113="Fechado (Parcial)"))*($A$2:A113&lt;&gt;"")),""))</f>
        <v/>
      </c>
      <c r="Y113" s="10" t="str">
        <f aca="false">IF(A113="","",IF(D113="Indicação",SUMPRODUCT(($D$2:D113="Indicação")*($A$2:A113&lt;&gt;"")),""))</f>
        <v/>
      </c>
      <c r="Z113" s="10" t="str">
        <f aca="false">IF(Y113="","","Indicacao|"&amp;Y113)</f>
        <v/>
      </c>
      <c r="AA113" s="10" t="str">
        <f aca="false">IF(I113="","",TEXT(I113,"mm/yyyy"))</f>
        <v/>
      </c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8"/>
      <c r="H114" s="6"/>
      <c r="I114" s="8"/>
      <c r="J114" s="6"/>
      <c r="K114" s="6"/>
      <c r="L114" s="6"/>
      <c r="M114" s="7"/>
      <c r="N114" s="6"/>
      <c r="O114" s="7"/>
      <c r="P114" s="8"/>
      <c r="Q114" s="4"/>
      <c r="R114" s="9" t="str">
        <f aca="false">IF(N114="Sim","Fechado (Total)",IF(N114="Parcial","Fechado (Parcial)",IF(N114="Não","Perdido",IF(N114="Pendente","Pendente",IF(N114="Não precisa no momento","Não Precisa no Momento",IF(L114="Sim","Plano de Tratamento",IF(J114="Não","Não Compareceu",IF(J114="Sim","Compareceu",IF(H114="Não","Perdido",IF(H114="Sim","Consulta Marcada",IF(A114="","","Novo Paciente")))))))))))</f>
        <v/>
      </c>
      <c r="S114" s="4"/>
      <c r="T114" s="10" t="str">
        <f aca="false">IF(A114="","",SUMPRODUCT(($R$2:R114=R114)*($A$2:A114&lt;&gt;"")))</f>
        <v/>
      </c>
      <c r="U114" s="10" t="str">
        <f aca="false">IF(A114="","",R114&amp;"|"&amp;T114)</f>
        <v/>
      </c>
      <c r="V114" s="10" t="str">
        <f aca="false">IF(G114="","",TEXT(G114,"mm/yyyy"))</f>
        <v/>
      </c>
      <c r="W114" s="10" t="str">
        <f aca="false">IF(P114="","",TEXT(P114,"mm/yyyy"))</f>
        <v/>
      </c>
      <c r="X114" s="10" t="str">
        <f aca="false">IF(A114="","",IF(OR(R114="Fechado (Total)",R114="Fechado (Parcial)"),"Fechado|"&amp;SUMPRODUCT((($R$2:R114="Fechado (Total)")+($R$2:R114="Fechado (Parcial)"))*($A$2:A114&lt;&gt;"")),""))</f>
        <v/>
      </c>
      <c r="Y114" s="10" t="str">
        <f aca="false">IF(A114="","",IF(D114="Indicação",SUMPRODUCT(($D$2:D114="Indicação")*($A$2:A114&lt;&gt;"")),""))</f>
        <v/>
      </c>
      <c r="Z114" s="10" t="str">
        <f aca="false">IF(Y114="","","Indicacao|"&amp;Y114)</f>
        <v/>
      </c>
      <c r="AA114" s="10" t="str">
        <f aca="false">IF(I114="","",TEXT(I114,"mm/yyyy"))</f>
        <v/>
      </c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8"/>
      <c r="H115" s="6"/>
      <c r="I115" s="8"/>
      <c r="J115" s="6"/>
      <c r="K115" s="6"/>
      <c r="L115" s="6"/>
      <c r="M115" s="7"/>
      <c r="N115" s="6"/>
      <c r="O115" s="7"/>
      <c r="P115" s="8"/>
      <c r="Q115" s="4"/>
      <c r="R115" s="9" t="str">
        <f aca="false">IF(N115="Sim","Fechado (Total)",IF(N115="Parcial","Fechado (Parcial)",IF(N115="Não","Perdido",IF(N115="Pendente","Pendente",IF(N115="Não precisa no momento","Não Precisa no Momento",IF(L115="Sim","Plano de Tratamento",IF(J115="Não","Não Compareceu",IF(J115="Sim","Compareceu",IF(H115="Não","Perdido",IF(H115="Sim","Consulta Marcada",IF(A115="","","Novo Paciente")))))))))))</f>
        <v/>
      </c>
      <c r="S115" s="4"/>
      <c r="T115" s="10" t="str">
        <f aca="false">IF(A115="","",SUMPRODUCT(($R$2:R115=R115)*($A$2:A115&lt;&gt;"")))</f>
        <v/>
      </c>
      <c r="U115" s="10" t="str">
        <f aca="false">IF(A115="","",R115&amp;"|"&amp;T115)</f>
        <v/>
      </c>
      <c r="V115" s="10" t="str">
        <f aca="false">IF(G115="","",TEXT(G115,"mm/yyyy"))</f>
        <v/>
      </c>
      <c r="W115" s="10" t="str">
        <f aca="false">IF(P115="","",TEXT(P115,"mm/yyyy"))</f>
        <v/>
      </c>
      <c r="X115" s="10" t="str">
        <f aca="false">IF(A115="","",IF(OR(R115="Fechado (Total)",R115="Fechado (Parcial)"),"Fechado|"&amp;SUMPRODUCT((($R$2:R115="Fechado (Total)")+($R$2:R115="Fechado (Parcial)"))*($A$2:A115&lt;&gt;"")),""))</f>
        <v/>
      </c>
      <c r="Y115" s="10" t="str">
        <f aca="false">IF(A115="","",IF(D115="Indicação",SUMPRODUCT(($D$2:D115="Indicação")*($A$2:A115&lt;&gt;"")),""))</f>
        <v/>
      </c>
      <c r="Z115" s="10" t="str">
        <f aca="false">IF(Y115="","","Indicacao|"&amp;Y115)</f>
        <v/>
      </c>
      <c r="AA115" s="10" t="str">
        <f aca="false">IF(I115="","",TEXT(I115,"mm/yyyy"))</f>
        <v/>
      </c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8"/>
      <c r="H116" s="6"/>
      <c r="I116" s="8"/>
      <c r="J116" s="6"/>
      <c r="K116" s="6"/>
      <c r="L116" s="6"/>
      <c r="M116" s="7"/>
      <c r="N116" s="6"/>
      <c r="O116" s="7"/>
      <c r="P116" s="8"/>
      <c r="Q116" s="4"/>
      <c r="R116" s="9" t="str">
        <f aca="false">IF(N116="Sim","Fechado (Total)",IF(N116="Parcial","Fechado (Parcial)",IF(N116="Não","Perdido",IF(N116="Pendente","Pendente",IF(N116="Não precisa no momento","Não Precisa no Momento",IF(L116="Sim","Plano de Tratamento",IF(J116="Não","Não Compareceu",IF(J116="Sim","Compareceu",IF(H116="Não","Perdido",IF(H116="Sim","Consulta Marcada",IF(A116="","","Novo Paciente")))))))))))</f>
        <v/>
      </c>
      <c r="S116" s="4"/>
      <c r="T116" s="10" t="str">
        <f aca="false">IF(A116="","",SUMPRODUCT(($R$2:R116=R116)*($A$2:A116&lt;&gt;"")))</f>
        <v/>
      </c>
      <c r="U116" s="10" t="str">
        <f aca="false">IF(A116="","",R116&amp;"|"&amp;T116)</f>
        <v/>
      </c>
      <c r="V116" s="10" t="str">
        <f aca="false">IF(G116="","",TEXT(G116,"mm/yyyy"))</f>
        <v/>
      </c>
      <c r="W116" s="10" t="str">
        <f aca="false">IF(P116="","",TEXT(P116,"mm/yyyy"))</f>
        <v/>
      </c>
      <c r="X116" s="10" t="str">
        <f aca="false">IF(A116="","",IF(OR(R116="Fechado (Total)",R116="Fechado (Parcial)"),"Fechado|"&amp;SUMPRODUCT((($R$2:R116="Fechado (Total)")+($R$2:R116="Fechado (Parcial)"))*($A$2:A116&lt;&gt;"")),""))</f>
        <v/>
      </c>
      <c r="Y116" s="10" t="str">
        <f aca="false">IF(A116="","",IF(D116="Indicação",SUMPRODUCT(($D$2:D116="Indicação")*($A$2:A116&lt;&gt;"")),""))</f>
        <v/>
      </c>
      <c r="Z116" s="10" t="str">
        <f aca="false">IF(Y116="","","Indicacao|"&amp;Y116)</f>
        <v/>
      </c>
      <c r="AA116" s="10" t="str">
        <f aca="false">IF(I116="","",TEXT(I116,"mm/yyyy"))</f>
        <v/>
      </c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8"/>
      <c r="H117" s="6"/>
      <c r="I117" s="8"/>
      <c r="J117" s="6"/>
      <c r="K117" s="6"/>
      <c r="L117" s="6"/>
      <c r="M117" s="7"/>
      <c r="N117" s="6"/>
      <c r="O117" s="7"/>
      <c r="P117" s="8"/>
      <c r="Q117" s="4"/>
      <c r="R117" s="9" t="str">
        <f aca="false">IF(N117="Sim","Fechado (Total)",IF(N117="Parcial","Fechado (Parcial)",IF(N117="Não","Perdido",IF(N117="Pendente","Pendente",IF(N117="Não precisa no momento","Não Precisa no Momento",IF(L117="Sim","Plano de Tratamento",IF(J117="Não","Não Compareceu",IF(J117="Sim","Compareceu",IF(H117="Não","Perdido",IF(H117="Sim","Consulta Marcada",IF(A117="","","Novo Paciente")))))))))))</f>
        <v/>
      </c>
      <c r="S117" s="4"/>
      <c r="T117" s="10" t="str">
        <f aca="false">IF(A117="","",SUMPRODUCT(($R$2:R117=R117)*($A$2:A117&lt;&gt;"")))</f>
        <v/>
      </c>
      <c r="U117" s="10" t="str">
        <f aca="false">IF(A117="","",R117&amp;"|"&amp;T117)</f>
        <v/>
      </c>
      <c r="V117" s="10" t="str">
        <f aca="false">IF(G117="","",TEXT(G117,"mm/yyyy"))</f>
        <v/>
      </c>
      <c r="W117" s="10" t="str">
        <f aca="false">IF(P117="","",TEXT(P117,"mm/yyyy"))</f>
        <v/>
      </c>
      <c r="X117" s="10" t="str">
        <f aca="false">IF(A117="","",IF(OR(R117="Fechado (Total)",R117="Fechado (Parcial)"),"Fechado|"&amp;SUMPRODUCT((($R$2:R117="Fechado (Total)")+($R$2:R117="Fechado (Parcial)"))*($A$2:A117&lt;&gt;"")),""))</f>
        <v/>
      </c>
      <c r="Y117" s="10" t="str">
        <f aca="false">IF(A117="","",IF(D117="Indicação",SUMPRODUCT(($D$2:D117="Indicação")*($A$2:A117&lt;&gt;"")),""))</f>
        <v/>
      </c>
      <c r="Z117" s="10" t="str">
        <f aca="false">IF(Y117="","","Indicacao|"&amp;Y117)</f>
        <v/>
      </c>
      <c r="AA117" s="10" t="str">
        <f aca="false">IF(I117="","",TEXT(I117,"mm/yyyy"))</f>
        <v/>
      </c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8"/>
      <c r="H118" s="6"/>
      <c r="I118" s="8"/>
      <c r="J118" s="6"/>
      <c r="K118" s="6"/>
      <c r="L118" s="6"/>
      <c r="M118" s="7"/>
      <c r="N118" s="6"/>
      <c r="O118" s="7"/>
      <c r="P118" s="8"/>
      <c r="Q118" s="4"/>
      <c r="R118" s="9" t="str">
        <f aca="false">IF(N118="Sim","Fechado (Total)",IF(N118="Parcial","Fechado (Parcial)",IF(N118="Não","Perdido",IF(N118="Pendente","Pendente",IF(N118="Não precisa no momento","Não Precisa no Momento",IF(L118="Sim","Plano de Tratamento",IF(J118="Não","Não Compareceu",IF(J118="Sim","Compareceu",IF(H118="Não","Perdido",IF(H118="Sim","Consulta Marcada",IF(A118="","","Novo Paciente")))))))))))</f>
        <v/>
      </c>
      <c r="S118" s="4"/>
      <c r="T118" s="10" t="str">
        <f aca="false">IF(A118="","",SUMPRODUCT(($R$2:R118=R118)*($A$2:A118&lt;&gt;"")))</f>
        <v/>
      </c>
      <c r="U118" s="10" t="str">
        <f aca="false">IF(A118="","",R118&amp;"|"&amp;T118)</f>
        <v/>
      </c>
      <c r="V118" s="10" t="str">
        <f aca="false">IF(G118="","",TEXT(G118,"mm/yyyy"))</f>
        <v/>
      </c>
      <c r="W118" s="10" t="str">
        <f aca="false">IF(P118="","",TEXT(P118,"mm/yyyy"))</f>
        <v/>
      </c>
      <c r="X118" s="10" t="str">
        <f aca="false">IF(A118="","",IF(OR(R118="Fechado (Total)",R118="Fechado (Parcial)"),"Fechado|"&amp;SUMPRODUCT((($R$2:R118="Fechado (Total)")+($R$2:R118="Fechado (Parcial)"))*($A$2:A118&lt;&gt;"")),""))</f>
        <v/>
      </c>
      <c r="Y118" s="10" t="str">
        <f aca="false">IF(A118="","",IF(D118="Indicação",SUMPRODUCT(($D$2:D118="Indicação")*($A$2:A118&lt;&gt;"")),""))</f>
        <v/>
      </c>
      <c r="Z118" s="10" t="str">
        <f aca="false">IF(Y118="","","Indicacao|"&amp;Y118)</f>
        <v/>
      </c>
      <c r="AA118" s="10" t="str">
        <f aca="false">IF(I118="","",TEXT(I118,"mm/yyyy"))</f>
        <v/>
      </c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8"/>
      <c r="H119" s="6"/>
      <c r="I119" s="8"/>
      <c r="J119" s="6"/>
      <c r="K119" s="6"/>
      <c r="L119" s="6"/>
      <c r="M119" s="7"/>
      <c r="N119" s="6"/>
      <c r="O119" s="7"/>
      <c r="P119" s="8"/>
      <c r="Q119" s="4"/>
      <c r="R119" s="9" t="str">
        <f aca="false">IF(N119="Sim","Fechado (Total)",IF(N119="Parcial","Fechado (Parcial)",IF(N119="Não","Perdido",IF(N119="Pendente","Pendente",IF(N119="Não precisa no momento","Não Precisa no Momento",IF(L119="Sim","Plano de Tratamento",IF(J119="Não","Não Compareceu",IF(J119="Sim","Compareceu",IF(H119="Não","Perdido",IF(H119="Sim","Consulta Marcada",IF(A119="","","Novo Paciente")))))))))))</f>
        <v/>
      </c>
      <c r="S119" s="4"/>
      <c r="T119" s="10" t="str">
        <f aca="false">IF(A119="","",SUMPRODUCT(($R$2:R119=R119)*($A$2:A119&lt;&gt;"")))</f>
        <v/>
      </c>
      <c r="U119" s="10" t="str">
        <f aca="false">IF(A119="","",R119&amp;"|"&amp;T119)</f>
        <v/>
      </c>
      <c r="V119" s="10" t="str">
        <f aca="false">IF(G119="","",TEXT(G119,"mm/yyyy"))</f>
        <v/>
      </c>
      <c r="W119" s="10" t="str">
        <f aca="false">IF(P119="","",TEXT(P119,"mm/yyyy"))</f>
        <v/>
      </c>
      <c r="X119" s="10" t="str">
        <f aca="false">IF(A119="","",IF(OR(R119="Fechado (Total)",R119="Fechado (Parcial)"),"Fechado|"&amp;SUMPRODUCT((($R$2:R119="Fechado (Total)")+($R$2:R119="Fechado (Parcial)"))*($A$2:A119&lt;&gt;"")),""))</f>
        <v/>
      </c>
      <c r="Y119" s="10" t="str">
        <f aca="false">IF(A119="","",IF(D119="Indicação",SUMPRODUCT(($D$2:D119="Indicação")*($A$2:A119&lt;&gt;"")),""))</f>
        <v/>
      </c>
      <c r="Z119" s="10" t="str">
        <f aca="false">IF(Y119="","","Indicacao|"&amp;Y119)</f>
        <v/>
      </c>
      <c r="AA119" s="10" t="str">
        <f aca="false">IF(I119="","",TEXT(I119,"mm/yyyy"))</f>
        <v/>
      </c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8"/>
      <c r="H120" s="6"/>
      <c r="I120" s="8"/>
      <c r="J120" s="6"/>
      <c r="K120" s="6"/>
      <c r="L120" s="6"/>
      <c r="M120" s="7"/>
      <c r="N120" s="6"/>
      <c r="O120" s="7"/>
      <c r="P120" s="8"/>
      <c r="Q120" s="4"/>
      <c r="R120" s="9" t="str">
        <f aca="false">IF(N120="Sim","Fechado (Total)",IF(N120="Parcial","Fechado (Parcial)",IF(N120="Não","Perdido",IF(N120="Pendente","Pendente",IF(N120="Não precisa no momento","Não Precisa no Momento",IF(L120="Sim","Plano de Tratamento",IF(J120="Não","Não Compareceu",IF(J120="Sim","Compareceu",IF(H120="Não","Perdido",IF(H120="Sim","Consulta Marcada",IF(A120="","","Novo Paciente")))))))))))</f>
        <v/>
      </c>
      <c r="S120" s="4"/>
      <c r="T120" s="10" t="str">
        <f aca="false">IF(A120="","",SUMPRODUCT(($R$2:R120=R120)*($A$2:A120&lt;&gt;"")))</f>
        <v/>
      </c>
      <c r="U120" s="10" t="str">
        <f aca="false">IF(A120="","",R120&amp;"|"&amp;T120)</f>
        <v/>
      </c>
      <c r="V120" s="10" t="str">
        <f aca="false">IF(G120="","",TEXT(G120,"mm/yyyy"))</f>
        <v/>
      </c>
      <c r="W120" s="10" t="str">
        <f aca="false">IF(P120="","",TEXT(P120,"mm/yyyy"))</f>
        <v/>
      </c>
      <c r="X120" s="10" t="str">
        <f aca="false">IF(A120="","",IF(OR(R120="Fechado (Total)",R120="Fechado (Parcial)"),"Fechado|"&amp;SUMPRODUCT((($R$2:R120="Fechado (Total)")+($R$2:R120="Fechado (Parcial)"))*($A$2:A120&lt;&gt;"")),""))</f>
        <v/>
      </c>
      <c r="Y120" s="10" t="str">
        <f aca="false">IF(A120="","",IF(D120="Indicação",SUMPRODUCT(($D$2:D120="Indicação")*($A$2:A120&lt;&gt;"")),""))</f>
        <v/>
      </c>
      <c r="Z120" s="10" t="str">
        <f aca="false">IF(Y120="","","Indicacao|"&amp;Y120)</f>
        <v/>
      </c>
      <c r="AA120" s="10" t="str">
        <f aca="false">IF(I120="","",TEXT(I120,"mm/yyyy"))</f>
        <v/>
      </c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8"/>
      <c r="H121" s="6"/>
      <c r="I121" s="8"/>
      <c r="J121" s="6"/>
      <c r="K121" s="6"/>
      <c r="L121" s="6"/>
      <c r="M121" s="7"/>
      <c r="N121" s="6"/>
      <c r="O121" s="7"/>
      <c r="P121" s="8"/>
      <c r="Q121" s="4"/>
      <c r="R121" s="9" t="str">
        <f aca="false">IF(N121="Sim","Fechado (Total)",IF(N121="Parcial","Fechado (Parcial)",IF(N121="Não","Perdido",IF(N121="Pendente","Pendente",IF(N121="Não precisa no momento","Não Precisa no Momento",IF(L121="Sim","Plano de Tratamento",IF(J121="Não","Não Compareceu",IF(J121="Sim","Compareceu",IF(H121="Não","Perdido",IF(H121="Sim","Consulta Marcada",IF(A121="","","Novo Paciente")))))))))))</f>
        <v/>
      </c>
      <c r="S121" s="4"/>
      <c r="T121" s="10" t="str">
        <f aca="false">IF(A121="","",SUMPRODUCT(($R$2:R121=R121)*($A$2:A121&lt;&gt;"")))</f>
        <v/>
      </c>
      <c r="U121" s="10" t="str">
        <f aca="false">IF(A121="","",R121&amp;"|"&amp;T121)</f>
        <v/>
      </c>
      <c r="V121" s="10" t="str">
        <f aca="false">IF(G121="","",TEXT(G121,"mm/yyyy"))</f>
        <v/>
      </c>
      <c r="W121" s="10" t="str">
        <f aca="false">IF(P121="","",TEXT(P121,"mm/yyyy"))</f>
        <v/>
      </c>
      <c r="X121" s="10" t="str">
        <f aca="false">IF(A121="","",IF(OR(R121="Fechado (Total)",R121="Fechado (Parcial)"),"Fechado|"&amp;SUMPRODUCT((($R$2:R121="Fechado (Total)")+($R$2:R121="Fechado (Parcial)"))*($A$2:A121&lt;&gt;"")),""))</f>
        <v/>
      </c>
      <c r="Y121" s="10" t="str">
        <f aca="false">IF(A121="","",IF(D121="Indicação",SUMPRODUCT(($D$2:D121="Indicação")*($A$2:A121&lt;&gt;"")),""))</f>
        <v/>
      </c>
      <c r="Z121" s="10" t="str">
        <f aca="false">IF(Y121="","","Indicacao|"&amp;Y121)</f>
        <v/>
      </c>
      <c r="AA121" s="10" t="str">
        <f aca="false">IF(I121="","",TEXT(I121,"mm/yyyy"))</f>
        <v/>
      </c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8"/>
      <c r="H122" s="6"/>
      <c r="I122" s="8"/>
      <c r="J122" s="6"/>
      <c r="K122" s="6"/>
      <c r="L122" s="6"/>
      <c r="M122" s="7"/>
      <c r="N122" s="6"/>
      <c r="O122" s="7"/>
      <c r="P122" s="8"/>
      <c r="Q122" s="4"/>
      <c r="R122" s="9" t="str">
        <f aca="false">IF(N122="Sim","Fechado (Total)",IF(N122="Parcial","Fechado (Parcial)",IF(N122="Não","Perdido",IF(N122="Pendente","Pendente",IF(N122="Não precisa no momento","Não Precisa no Momento",IF(L122="Sim","Plano de Tratamento",IF(J122="Não","Não Compareceu",IF(J122="Sim","Compareceu",IF(H122="Não","Perdido",IF(H122="Sim","Consulta Marcada",IF(A122="","","Novo Paciente")))))))))))</f>
        <v/>
      </c>
      <c r="S122" s="4"/>
      <c r="T122" s="10" t="str">
        <f aca="false">IF(A122="","",SUMPRODUCT(($R$2:R122=R122)*($A$2:A122&lt;&gt;"")))</f>
        <v/>
      </c>
      <c r="U122" s="10" t="str">
        <f aca="false">IF(A122="","",R122&amp;"|"&amp;T122)</f>
        <v/>
      </c>
      <c r="V122" s="10" t="str">
        <f aca="false">IF(G122="","",TEXT(G122,"mm/yyyy"))</f>
        <v/>
      </c>
      <c r="W122" s="10" t="str">
        <f aca="false">IF(P122="","",TEXT(P122,"mm/yyyy"))</f>
        <v/>
      </c>
      <c r="X122" s="10" t="str">
        <f aca="false">IF(A122="","",IF(OR(R122="Fechado (Total)",R122="Fechado (Parcial)"),"Fechado|"&amp;SUMPRODUCT((($R$2:R122="Fechado (Total)")+($R$2:R122="Fechado (Parcial)"))*($A$2:A122&lt;&gt;"")),""))</f>
        <v/>
      </c>
      <c r="Y122" s="10" t="str">
        <f aca="false">IF(A122="","",IF(D122="Indicação",SUMPRODUCT(($D$2:D122="Indicação")*($A$2:A122&lt;&gt;"")),""))</f>
        <v/>
      </c>
      <c r="Z122" s="10" t="str">
        <f aca="false">IF(Y122="","","Indicacao|"&amp;Y122)</f>
        <v/>
      </c>
      <c r="AA122" s="10" t="str">
        <f aca="false">IF(I122="","",TEXT(I122,"mm/yyyy"))</f>
        <v/>
      </c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8"/>
      <c r="H123" s="6"/>
      <c r="I123" s="8"/>
      <c r="J123" s="6"/>
      <c r="K123" s="6"/>
      <c r="L123" s="6"/>
      <c r="M123" s="7"/>
      <c r="N123" s="6"/>
      <c r="O123" s="7"/>
      <c r="P123" s="8"/>
      <c r="Q123" s="4"/>
      <c r="R123" s="9" t="str">
        <f aca="false">IF(N123="Sim","Fechado (Total)",IF(N123="Parcial","Fechado (Parcial)",IF(N123="Não","Perdido",IF(N123="Pendente","Pendente",IF(N123="Não precisa no momento","Não Precisa no Momento",IF(L123="Sim","Plano de Tratamento",IF(J123="Não","Não Compareceu",IF(J123="Sim","Compareceu",IF(H123="Não","Perdido",IF(H123="Sim","Consulta Marcada",IF(A123="","","Novo Paciente")))))))))))</f>
        <v/>
      </c>
      <c r="S123" s="4"/>
      <c r="T123" s="10" t="str">
        <f aca="false">IF(A123="","",SUMPRODUCT(($R$2:R123=R123)*($A$2:A123&lt;&gt;"")))</f>
        <v/>
      </c>
      <c r="U123" s="10" t="str">
        <f aca="false">IF(A123="","",R123&amp;"|"&amp;T123)</f>
        <v/>
      </c>
      <c r="V123" s="10" t="str">
        <f aca="false">IF(G123="","",TEXT(G123,"mm/yyyy"))</f>
        <v/>
      </c>
      <c r="W123" s="10" t="str">
        <f aca="false">IF(P123="","",TEXT(P123,"mm/yyyy"))</f>
        <v/>
      </c>
      <c r="X123" s="10" t="str">
        <f aca="false">IF(A123="","",IF(OR(R123="Fechado (Total)",R123="Fechado (Parcial)"),"Fechado|"&amp;SUMPRODUCT((($R$2:R123="Fechado (Total)")+($R$2:R123="Fechado (Parcial)"))*($A$2:A123&lt;&gt;"")),""))</f>
        <v/>
      </c>
      <c r="Y123" s="10" t="str">
        <f aca="false">IF(A123="","",IF(D123="Indicação",SUMPRODUCT(($D$2:D123="Indicação")*($A$2:A123&lt;&gt;"")),""))</f>
        <v/>
      </c>
      <c r="Z123" s="10" t="str">
        <f aca="false">IF(Y123="","","Indicacao|"&amp;Y123)</f>
        <v/>
      </c>
      <c r="AA123" s="10" t="str">
        <f aca="false">IF(I123="","",TEXT(I123,"mm/yyyy"))</f>
        <v/>
      </c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8"/>
      <c r="H124" s="6"/>
      <c r="I124" s="8"/>
      <c r="J124" s="6"/>
      <c r="K124" s="6"/>
      <c r="L124" s="6"/>
      <c r="M124" s="7"/>
      <c r="N124" s="6"/>
      <c r="O124" s="7"/>
      <c r="P124" s="8"/>
      <c r="Q124" s="4"/>
      <c r="R124" s="9" t="str">
        <f aca="false">IF(N124="Sim","Fechado (Total)",IF(N124="Parcial","Fechado (Parcial)",IF(N124="Não","Perdido",IF(N124="Pendente","Pendente",IF(N124="Não precisa no momento","Não Precisa no Momento",IF(L124="Sim","Plano de Tratamento",IF(J124="Não","Não Compareceu",IF(J124="Sim","Compareceu",IF(H124="Não","Perdido",IF(H124="Sim","Consulta Marcada",IF(A124="","","Novo Paciente")))))))))))</f>
        <v/>
      </c>
      <c r="S124" s="4"/>
      <c r="T124" s="10" t="str">
        <f aca="false">IF(A124="","",SUMPRODUCT(($R$2:R124=R124)*($A$2:A124&lt;&gt;"")))</f>
        <v/>
      </c>
      <c r="U124" s="10" t="str">
        <f aca="false">IF(A124="","",R124&amp;"|"&amp;T124)</f>
        <v/>
      </c>
      <c r="V124" s="10" t="str">
        <f aca="false">IF(G124="","",TEXT(G124,"mm/yyyy"))</f>
        <v/>
      </c>
      <c r="W124" s="10" t="str">
        <f aca="false">IF(P124="","",TEXT(P124,"mm/yyyy"))</f>
        <v/>
      </c>
      <c r="X124" s="10" t="str">
        <f aca="false">IF(A124="","",IF(OR(R124="Fechado (Total)",R124="Fechado (Parcial)"),"Fechado|"&amp;SUMPRODUCT((($R$2:R124="Fechado (Total)")+($R$2:R124="Fechado (Parcial)"))*($A$2:A124&lt;&gt;"")),""))</f>
        <v/>
      </c>
      <c r="Y124" s="10" t="str">
        <f aca="false">IF(A124="","",IF(D124="Indicação",SUMPRODUCT(($D$2:D124="Indicação")*($A$2:A124&lt;&gt;"")),""))</f>
        <v/>
      </c>
      <c r="Z124" s="10" t="str">
        <f aca="false">IF(Y124="","","Indicacao|"&amp;Y124)</f>
        <v/>
      </c>
      <c r="AA124" s="10" t="str">
        <f aca="false">IF(I124="","",TEXT(I124,"mm/yyyy"))</f>
        <v/>
      </c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8"/>
      <c r="H125" s="6"/>
      <c r="I125" s="8"/>
      <c r="J125" s="6"/>
      <c r="K125" s="6"/>
      <c r="L125" s="6"/>
      <c r="M125" s="7"/>
      <c r="N125" s="6"/>
      <c r="O125" s="7"/>
      <c r="P125" s="8"/>
      <c r="Q125" s="4"/>
      <c r="R125" s="9" t="str">
        <f aca="false">IF(N125="Sim","Fechado (Total)",IF(N125="Parcial","Fechado (Parcial)",IF(N125="Não","Perdido",IF(N125="Pendente","Pendente",IF(N125="Não precisa no momento","Não Precisa no Momento",IF(L125="Sim","Plano de Tratamento",IF(J125="Não","Não Compareceu",IF(J125="Sim","Compareceu",IF(H125="Não","Perdido",IF(H125="Sim","Consulta Marcada",IF(A125="","","Novo Paciente")))))))))))</f>
        <v/>
      </c>
      <c r="S125" s="4"/>
      <c r="T125" s="10" t="str">
        <f aca="false">IF(A125="","",SUMPRODUCT(($R$2:R125=R125)*($A$2:A125&lt;&gt;"")))</f>
        <v/>
      </c>
      <c r="U125" s="10" t="str">
        <f aca="false">IF(A125="","",R125&amp;"|"&amp;T125)</f>
        <v/>
      </c>
      <c r="V125" s="10" t="str">
        <f aca="false">IF(G125="","",TEXT(G125,"mm/yyyy"))</f>
        <v/>
      </c>
      <c r="W125" s="10" t="str">
        <f aca="false">IF(P125="","",TEXT(P125,"mm/yyyy"))</f>
        <v/>
      </c>
      <c r="X125" s="10" t="str">
        <f aca="false">IF(A125="","",IF(OR(R125="Fechado (Total)",R125="Fechado (Parcial)"),"Fechado|"&amp;SUMPRODUCT((($R$2:R125="Fechado (Total)")+($R$2:R125="Fechado (Parcial)"))*($A$2:A125&lt;&gt;"")),""))</f>
        <v/>
      </c>
      <c r="Y125" s="10" t="str">
        <f aca="false">IF(A125="","",IF(D125="Indicação",SUMPRODUCT(($D$2:D125="Indicação")*($A$2:A125&lt;&gt;"")),""))</f>
        <v/>
      </c>
      <c r="Z125" s="10" t="str">
        <f aca="false">IF(Y125="","","Indicacao|"&amp;Y125)</f>
        <v/>
      </c>
      <c r="AA125" s="10" t="str">
        <f aca="false">IF(I125="","",TEXT(I125,"mm/yyyy"))</f>
        <v/>
      </c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8"/>
      <c r="H126" s="6"/>
      <c r="I126" s="8"/>
      <c r="J126" s="6"/>
      <c r="K126" s="6"/>
      <c r="L126" s="6"/>
      <c r="M126" s="7"/>
      <c r="N126" s="6"/>
      <c r="O126" s="7"/>
      <c r="P126" s="8"/>
      <c r="Q126" s="4"/>
      <c r="R126" s="9" t="str">
        <f aca="false">IF(N126="Sim","Fechado (Total)",IF(N126="Parcial","Fechado (Parcial)",IF(N126="Não","Perdido",IF(N126="Pendente","Pendente",IF(N126="Não precisa no momento","Não Precisa no Momento",IF(L126="Sim","Plano de Tratamento",IF(J126="Não","Não Compareceu",IF(J126="Sim","Compareceu",IF(H126="Não","Perdido",IF(H126="Sim","Consulta Marcada",IF(A126="","","Novo Paciente")))))))))))</f>
        <v/>
      </c>
      <c r="S126" s="4"/>
      <c r="T126" s="10" t="str">
        <f aca="false">IF(A126="","",SUMPRODUCT(($R$2:R126=R126)*($A$2:A126&lt;&gt;"")))</f>
        <v/>
      </c>
      <c r="U126" s="10" t="str">
        <f aca="false">IF(A126="","",R126&amp;"|"&amp;T126)</f>
        <v/>
      </c>
      <c r="V126" s="10" t="str">
        <f aca="false">IF(G126="","",TEXT(G126,"mm/yyyy"))</f>
        <v/>
      </c>
      <c r="W126" s="10" t="str">
        <f aca="false">IF(P126="","",TEXT(P126,"mm/yyyy"))</f>
        <v/>
      </c>
      <c r="X126" s="10" t="str">
        <f aca="false">IF(A126="","",IF(OR(R126="Fechado (Total)",R126="Fechado (Parcial)"),"Fechado|"&amp;SUMPRODUCT((($R$2:R126="Fechado (Total)")+($R$2:R126="Fechado (Parcial)"))*($A$2:A126&lt;&gt;"")),""))</f>
        <v/>
      </c>
      <c r="Y126" s="10" t="str">
        <f aca="false">IF(A126="","",IF(D126="Indicação",SUMPRODUCT(($D$2:D126="Indicação")*($A$2:A126&lt;&gt;"")),""))</f>
        <v/>
      </c>
      <c r="Z126" s="10" t="str">
        <f aca="false">IF(Y126="","","Indicacao|"&amp;Y126)</f>
        <v/>
      </c>
      <c r="AA126" s="10" t="str">
        <f aca="false">IF(I126="","",TEXT(I126,"mm/yyyy"))</f>
        <v/>
      </c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8"/>
      <c r="H127" s="6"/>
      <c r="I127" s="8"/>
      <c r="J127" s="6"/>
      <c r="K127" s="6"/>
      <c r="L127" s="6"/>
      <c r="M127" s="7"/>
      <c r="N127" s="6"/>
      <c r="O127" s="7"/>
      <c r="P127" s="8"/>
      <c r="Q127" s="4"/>
      <c r="R127" s="9" t="str">
        <f aca="false">IF(N127="Sim","Fechado (Total)",IF(N127="Parcial","Fechado (Parcial)",IF(N127="Não","Perdido",IF(N127="Pendente","Pendente",IF(N127="Não precisa no momento","Não Precisa no Momento",IF(L127="Sim","Plano de Tratamento",IF(J127="Não","Não Compareceu",IF(J127="Sim","Compareceu",IF(H127="Não","Perdido",IF(H127="Sim","Consulta Marcada",IF(A127="","","Novo Paciente")))))))))))</f>
        <v/>
      </c>
      <c r="S127" s="4"/>
      <c r="T127" s="10" t="str">
        <f aca="false">IF(A127="","",SUMPRODUCT(($R$2:R127=R127)*($A$2:A127&lt;&gt;"")))</f>
        <v/>
      </c>
      <c r="U127" s="10" t="str">
        <f aca="false">IF(A127="","",R127&amp;"|"&amp;T127)</f>
        <v/>
      </c>
      <c r="V127" s="10" t="str">
        <f aca="false">IF(G127="","",TEXT(G127,"mm/yyyy"))</f>
        <v/>
      </c>
      <c r="W127" s="10" t="str">
        <f aca="false">IF(P127="","",TEXT(P127,"mm/yyyy"))</f>
        <v/>
      </c>
      <c r="X127" s="10" t="str">
        <f aca="false">IF(A127="","",IF(OR(R127="Fechado (Total)",R127="Fechado (Parcial)"),"Fechado|"&amp;SUMPRODUCT((($R$2:R127="Fechado (Total)")+($R$2:R127="Fechado (Parcial)"))*($A$2:A127&lt;&gt;"")),""))</f>
        <v/>
      </c>
      <c r="Y127" s="10" t="str">
        <f aca="false">IF(A127="","",IF(D127="Indicação",SUMPRODUCT(($D$2:D127="Indicação")*($A$2:A127&lt;&gt;"")),""))</f>
        <v/>
      </c>
      <c r="Z127" s="10" t="str">
        <f aca="false">IF(Y127="","","Indicacao|"&amp;Y127)</f>
        <v/>
      </c>
      <c r="AA127" s="10" t="str">
        <f aca="false">IF(I127="","",TEXT(I127,"mm/yyyy"))</f>
        <v/>
      </c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8"/>
      <c r="H128" s="6"/>
      <c r="I128" s="8"/>
      <c r="J128" s="6"/>
      <c r="K128" s="6"/>
      <c r="L128" s="6"/>
      <c r="M128" s="7"/>
      <c r="N128" s="6"/>
      <c r="O128" s="7"/>
      <c r="P128" s="8"/>
      <c r="Q128" s="4"/>
      <c r="R128" s="9" t="str">
        <f aca="false">IF(N128="Sim","Fechado (Total)",IF(N128="Parcial","Fechado (Parcial)",IF(N128="Não","Perdido",IF(N128="Pendente","Pendente",IF(N128="Não precisa no momento","Não Precisa no Momento",IF(L128="Sim","Plano de Tratamento",IF(J128="Não","Não Compareceu",IF(J128="Sim","Compareceu",IF(H128="Não","Perdido",IF(H128="Sim","Consulta Marcada",IF(A128="","","Novo Paciente")))))))))))</f>
        <v/>
      </c>
      <c r="S128" s="4"/>
      <c r="T128" s="10" t="str">
        <f aca="false">IF(A128="","",SUMPRODUCT(($R$2:R128=R128)*($A$2:A128&lt;&gt;"")))</f>
        <v/>
      </c>
      <c r="U128" s="10" t="str">
        <f aca="false">IF(A128="","",R128&amp;"|"&amp;T128)</f>
        <v/>
      </c>
      <c r="V128" s="10" t="str">
        <f aca="false">IF(G128="","",TEXT(G128,"mm/yyyy"))</f>
        <v/>
      </c>
      <c r="W128" s="10" t="str">
        <f aca="false">IF(P128="","",TEXT(P128,"mm/yyyy"))</f>
        <v/>
      </c>
      <c r="X128" s="10" t="str">
        <f aca="false">IF(A128="","",IF(OR(R128="Fechado (Total)",R128="Fechado (Parcial)"),"Fechado|"&amp;SUMPRODUCT((($R$2:R128="Fechado (Total)")+($R$2:R128="Fechado (Parcial)"))*($A$2:A128&lt;&gt;"")),""))</f>
        <v/>
      </c>
      <c r="Y128" s="10" t="str">
        <f aca="false">IF(A128="","",IF(D128="Indicação",SUMPRODUCT(($D$2:D128="Indicação")*($A$2:A128&lt;&gt;"")),""))</f>
        <v/>
      </c>
      <c r="Z128" s="10" t="str">
        <f aca="false">IF(Y128="","","Indicacao|"&amp;Y128)</f>
        <v/>
      </c>
      <c r="AA128" s="10" t="str">
        <f aca="false">IF(I128="","",TEXT(I128,"mm/yyyy"))</f>
        <v/>
      </c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8"/>
      <c r="H129" s="6"/>
      <c r="I129" s="8"/>
      <c r="J129" s="6"/>
      <c r="K129" s="6"/>
      <c r="L129" s="6"/>
      <c r="M129" s="7"/>
      <c r="N129" s="6"/>
      <c r="O129" s="7"/>
      <c r="P129" s="8"/>
      <c r="Q129" s="4"/>
      <c r="R129" s="9" t="str">
        <f aca="false">IF(N129="Sim","Fechado (Total)",IF(N129="Parcial","Fechado (Parcial)",IF(N129="Não","Perdido",IF(N129="Pendente","Pendente",IF(N129="Não precisa no momento","Não Precisa no Momento",IF(L129="Sim","Plano de Tratamento",IF(J129="Não","Não Compareceu",IF(J129="Sim","Compareceu",IF(H129="Não","Perdido",IF(H129="Sim","Consulta Marcada",IF(A129="","","Novo Paciente")))))))))))</f>
        <v/>
      </c>
      <c r="S129" s="4"/>
      <c r="T129" s="10" t="str">
        <f aca="false">IF(A129="","",SUMPRODUCT(($R$2:R129=R129)*($A$2:A129&lt;&gt;"")))</f>
        <v/>
      </c>
      <c r="U129" s="10" t="str">
        <f aca="false">IF(A129="","",R129&amp;"|"&amp;T129)</f>
        <v/>
      </c>
      <c r="V129" s="10" t="str">
        <f aca="false">IF(G129="","",TEXT(G129,"mm/yyyy"))</f>
        <v/>
      </c>
      <c r="W129" s="10" t="str">
        <f aca="false">IF(P129="","",TEXT(P129,"mm/yyyy"))</f>
        <v/>
      </c>
      <c r="X129" s="10" t="str">
        <f aca="false">IF(A129="","",IF(OR(R129="Fechado (Total)",R129="Fechado (Parcial)"),"Fechado|"&amp;SUMPRODUCT((($R$2:R129="Fechado (Total)")+($R$2:R129="Fechado (Parcial)"))*($A$2:A129&lt;&gt;"")),""))</f>
        <v/>
      </c>
      <c r="Y129" s="10" t="str">
        <f aca="false">IF(A129="","",IF(D129="Indicação",SUMPRODUCT(($D$2:D129="Indicação")*($A$2:A129&lt;&gt;"")),""))</f>
        <v/>
      </c>
      <c r="Z129" s="10" t="str">
        <f aca="false">IF(Y129="","","Indicacao|"&amp;Y129)</f>
        <v/>
      </c>
      <c r="AA129" s="10" t="str">
        <f aca="false">IF(I129="","",TEXT(I129,"mm/yyyy"))</f>
        <v/>
      </c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8"/>
      <c r="H130" s="6"/>
      <c r="I130" s="8"/>
      <c r="J130" s="6"/>
      <c r="K130" s="6"/>
      <c r="L130" s="6"/>
      <c r="M130" s="7"/>
      <c r="N130" s="6"/>
      <c r="O130" s="7"/>
      <c r="P130" s="8"/>
      <c r="Q130" s="4"/>
      <c r="R130" s="9" t="str">
        <f aca="false">IF(N130="Sim","Fechado (Total)",IF(N130="Parcial","Fechado (Parcial)",IF(N130="Não","Perdido",IF(N130="Pendente","Pendente",IF(N130="Não precisa no momento","Não Precisa no Momento",IF(L130="Sim","Plano de Tratamento",IF(J130="Não","Não Compareceu",IF(J130="Sim","Compareceu",IF(H130="Não","Perdido",IF(H130="Sim","Consulta Marcada",IF(A130="","","Novo Paciente")))))))))))</f>
        <v/>
      </c>
      <c r="S130" s="4"/>
      <c r="T130" s="10" t="str">
        <f aca="false">IF(A130="","",SUMPRODUCT(($R$2:R130=R130)*($A$2:A130&lt;&gt;"")))</f>
        <v/>
      </c>
      <c r="U130" s="10" t="str">
        <f aca="false">IF(A130="","",R130&amp;"|"&amp;T130)</f>
        <v/>
      </c>
      <c r="V130" s="10" t="str">
        <f aca="false">IF(G130="","",TEXT(G130,"mm/yyyy"))</f>
        <v/>
      </c>
      <c r="W130" s="10" t="str">
        <f aca="false">IF(P130="","",TEXT(P130,"mm/yyyy"))</f>
        <v/>
      </c>
      <c r="X130" s="10" t="str">
        <f aca="false">IF(A130="","",IF(OR(R130="Fechado (Total)",R130="Fechado (Parcial)"),"Fechado|"&amp;SUMPRODUCT((($R$2:R130="Fechado (Total)")+($R$2:R130="Fechado (Parcial)"))*($A$2:A130&lt;&gt;"")),""))</f>
        <v/>
      </c>
      <c r="Y130" s="10" t="str">
        <f aca="false">IF(A130="","",IF(D130="Indicação",SUMPRODUCT(($D$2:D130="Indicação")*($A$2:A130&lt;&gt;"")),""))</f>
        <v/>
      </c>
      <c r="Z130" s="10" t="str">
        <f aca="false">IF(Y130="","","Indicacao|"&amp;Y130)</f>
        <v/>
      </c>
      <c r="AA130" s="10" t="str">
        <f aca="false">IF(I130="","",TEXT(I130,"mm/yyyy"))</f>
        <v/>
      </c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8"/>
      <c r="H131" s="6"/>
      <c r="I131" s="8"/>
      <c r="J131" s="6"/>
      <c r="K131" s="6"/>
      <c r="L131" s="6"/>
      <c r="M131" s="7"/>
      <c r="N131" s="6"/>
      <c r="O131" s="7"/>
      <c r="P131" s="8"/>
      <c r="Q131" s="4"/>
      <c r="R131" s="9" t="str">
        <f aca="false">IF(N131="Sim","Fechado (Total)",IF(N131="Parcial","Fechado (Parcial)",IF(N131="Não","Perdido",IF(N131="Pendente","Pendente",IF(N131="Não precisa no momento","Não Precisa no Momento",IF(L131="Sim","Plano de Tratamento",IF(J131="Não","Não Compareceu",IF(J131="Sim","Compareceu",IF(H131="Não","Perdido",IF(H131="Sim","Consulta Marcada",IF(A131="","","Novo Paciente")))))))))))</f>
        <v/>
      </c>
      <c r="S131" s="4"/>
      <c r="T131" s="10" t="str">
        <f aca="false">IF(A131="","",SUMPRODUCT(($R$2:R131=R131)*($A$2:A131&lt;&gt;"")))</f>
        <v/>
      </c>
      <c r="U131" s="10" t="str">
        <f aca="false">IF(A131="","",R131&amp;"|"&amp;T131)</f>
        <v/>
      </c>
      <c r="V131" s="10" t="str">
        <f aca="false">IF(G131="","",TEXT(G131,"mm/yyyy"))</f>
        <v/>
      </c>
      <c r="W131" s="10" t="str">
        <f aca="false">IF(P131="","",TEXT(P131,"mm/yyyy"))</f>
        <v/>
      </c>
      <c r="X131" s="10" t="str">
        <f aca="false">IF(A131="","",IF(OR(R131="Fechado (Total)",R131="Fechado (Parcial)"),"Fechado|"&amp;SUMPRODUCT((($R$2:R131="Fechado (Total)")+($R$2:R131="Fechado (Parcial)"))*($A$2:A131&lt;&gt;"")),""))</f>
        <v/>
      </c>
      <c r="Y131" s="10" t="str">
        <f aca="false">IF(A131="","",IF(D131="Indicação",SUMPRODUCT(($D$2:D131="Indicação")*($A$2:A131&lt;&gt;"")),""))</f>
        <v/>
      </c>
      <c r="Z131" s="10" t="str">
        <f aca="false">IF(Y131="","","Indicacao|"&amp;Y131)</f>
        <v/>
      </c>
      <c r="AA131" s="10" t="str">
        <f aca="false">IF(I131="","",TEXT(I131,"mm/yyyy"))</f>
        <v/>
      </c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8"/>
      <c r="H132" s="6"/>
      <c r="I132" s="8"/>
      <c r="J132" s="6"/>
      <c r="K132" s="6"/>
      <c r="L132" s="6"/>
      <c r="M132" s="7"/>
      <c r="N132" s="6"/>
      <c r="O132" s="7"/>
      <c r="P132" s="8"/>
      <c r="Q132" s="4"/>
      <c r="R132" s="9" t="str">
        <f aca="false">IF(N132="Sim","Fechado (Total)",IF(N132="Parcial","Fechado (Parcial)",IF(N132="Não","Perdido",IF(N132="Pendente","Pendente",IF(N132="Não precisa no momento","Não Precisa no Momento",IF(L132="Sim","Plano de Tratamento",IF(J132="Não","Não Compareceu",IF(J132="Sim","Compareceu",IF(H132="Não","Perdido",IF(H132="Sim","Consulta Marcada",IF(A132="","","Novo Paciente")))))))))))</f>
        <v/>
      </c>
      <c r="S132" s="4"/>
      <c r="T132" s="10" t="str">
        <f aca="false">IF(A132="","",SUMPRODUCT(($R$2:R132=R132)*($A$2:A132&lt;&gt;"")))</f>
        <v/>
      </c>
      <c r="U132" s="10" t="str">
        <f aca="false">IF(A132="","",R132&amp;"|"&amp;T132)</f>
        <v/>
      </c>
      <c r="V132" s="10" t="str">
        <f aca="false">IF(G132="","",TEXT(G132,"mm/yyyy"))</f>
        <v/>
      </c>
      <c r="W132" s="10" t="str">
        <f aca="false">IF(P132="","",TEXT(P132,"mm/yyyy"))</f>
        <v/>
      </c>
      <c r="X132" s="10" t="str">
        <f aca="false">IF(A132="","",IF(OR(R132="Fechado (Total)",R132="Fechado (Parcial)"),"Fechado|"&amp;SUMPRODUCT((($R$2:R132="Fechado (Total)")+($R$2:R132="Fechado (Parcial)"))*($A$2:A132&lt;&gt;"")),""))</f>
        <v/>
      </c>
      <c r="Y132" s="10" t="str">
        <f aca="false">IF(A132="","",IF(D132="Indicação",SUMPRODUCT(($D$2:D132="Indicação")*($A$2:A132&lt;&gt;"")),""))</f>
        <v/>
      </c>
      <c r="Z132" s="10" t="str">
        <f aca="false">IF(Y132="","","Indicacao|"&amp;Y132)</f>
        <v/>
      </c>
      <c r="AA132" s="10" t="str">
        <f aca="false">IF(I132="","",TEXT(I132,"mm/yyyy"))</f>
        <v/>
      </c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8"/>
      <c r="H133" s="6"/>
      <c r="I133" s="8"/>
      <c r="J133" s="6"/>
      <c r="K133" s="6"/>
      <c r="L133" s="6"/>
      <c r="M133" s="7"/>
      <c r="N133" s="6"/>
      <c r="O133" s="7"/>
      <c r="P133" s="8"/>
      <c r="Q133" s="4"/>
      <c r="R133" s="9" t="str">
        <f aca="false">IF(N133="Sim","Fechado (Total)",IF(N133="Parcial","Fechado (Parcial)",IF(N133="Não","Perdido",IF(N133="Pendente","Pendente",IF(N133="Não precisa no momento","Não Precisa no Momento",IF(L133="Sim","Plano de Tratamento",IF(J133="Não","Não Compareceu",IF(J133="Sim","Compareceu",IF(H133="Não","Perdido",IF(H133="Sim","Consulta Marcada",IF(A133="","","Novo Paciente")))))))))))</f>
        <v/>
      </c>
      <c r="S133" s="4"/>
      <c r="T133" s="10" t="str">
        <f aca="false">IF(A133="","",SUMPRODUCT(($R$2:R133=R133)*($A$2:A133&lt;&gt;"")))</f>
        <v/>
      </c>
      <c r="U133" s="10" t="str">
        <f aca="false">IF(A133="","",R133&amp;"|"&amp;T133)</f>
        <v/>
      </c>
      <c r="V133" s="10" t="str">
        <f aca="false">IF(G133="","",TEXT(G133,"mm/yyyy"))</f>
        <v/>
      </c>
      <c r="W133" s="10" t="str">
        <f aca="false">IF(P133="","",TEXT(P133,"mm/yyyy"))</f>
        <v/>
      </c>
      <c r="X133" s="10" t="str">
        <f aca="false">IF(A133="","",IF(OR(R133="Fechado (Total)",R133="Fechado (Parcial)"),"Fechado|"&amp;SUMPRODUCT((($R$2:R133="Fechado (Total)")+($R$2:R133="Fechado (Parcial)"))*($A$2:A133&lt;&gt;"")),""))</f>
        <v/>
      </c>
      <c r="Y133" s="10" t="str">
        <f aca="false">IF(A133="","",IF(D133="Indicação",SUMPRODUCT(($D$2:D133="Indicação")*($A$2:A133&lt;&gt;"")),""))</f>
        <v/>
      </c>
      <c r="Z133" s="10" t="str">
        <f aca="false">IF(Y133="","","Indicacao|"&amp;Y133)</f>
        <v/>
      </c>
      <c r="AA133" s="10" t="str">
        <f aca="false">IF(I133="","",TEXT(I133,"mm/yyyy"))</f>
        <v/>
      </c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8"/>
      <c r="H134" s="6"/>
      <c r="I134" s="8"/>
      <c r="J134" s="6"/>
      <c r="K134" s="6"/>
      <c r="L134" s="6"/>
      <c r="M134" s="7"/>
      <c r="N134" s="6"/>
      <c r="O134" s="7"/>
      <c r="P134" s="8"/>
      <c r="Q134" s="4"/>
      <c r="R134" s="9" t="str">
        <f aca="false">IF(N134="Sim","Fechado (Total)",IF(N134="Parcial","Fechado (Parcial)",IF(N134="Não","Perdido",IF(N134="Pendente","Pendente",IF(N134="Não precisa no momento","Não Precisa no Momento",IF(L134="Sim","Plano de Tratamento",IF(J134="Não","Não Compareceu",IF(J134="Sim","Compareceu",IF(H134="Não","Perdido",IF(H134="Sim","Consulta Marcada",IF(A134="","","Novo Paciente")))))))))))</f>
        <v/>
      </c>
      <c r="S134" s="4"/>
      <c r="T134" s="10" t="str">
        <f aca="false">IF(A134="","",SUMPRODUCT(($R$2:R134=R134)*($A$2:A134&lt;&gt;"")))</f>
        <v/>
      </c>
      <c r="U134" s="10" t="str">
        <f aca="false">IF(A134="","",R134&amp;"|"&amp;T134)</f>
        <v/>
      </c>
      <c r="V134" s="10" t="str">
        <f aca="false">IF(G134="","",TEXT(G134,"mm/yyyy"))</f>
        <v/>
      </c>
      <c r="W134" s="10" t="str">
        <f aca="false">IF(P134="","",TEXT(P134,"mm/yyyy"))</f>
        <v/>
      </c>
      <c r="X134" s="10" t="str">
        <f aca="false">IF(A134="","",IF(OR(R134="Fechado (Total)",R134="Fechado (Parcial)"),"Fechado|"&amp;SUMPRODUCT((($R$2:R134="Fechado (Total)")+($R$2:R134="Fechado (Parcial)"))*($A$2:A134&lt;&gt;"")),""))</f>
        <v/>
      </c>
      <c r="Y134" s="10" t="str">
        <f aca="false">IF(A134="","",IF(D134="Indicação",SUMPRODUCT(($D$2:D134="Indicação")*($A$2:A134&lt;&gt;"")),""))</f>
        <v/>
      </c>
      <c r="Z134" s="10" t="str">
        <f aca="false">IF(Y134="","","Indicacao|"&amp;Y134)</f>
        <v/>
      </c>
      <c r="AA134" s="10" t="str">
        <f aca="false">IF(I134="","",TEXT(I134,"mm/yyyy"))</f>
        <v/>
      </c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8"/>
      <c r="H135" s="6"/>
      <c r="I135" s="8"/>
      <c r="J135" s="6"/>
      <c r="K135" s="6"/>
      <c r="L135" s="6"/>
      <c r="M135" s="7"/>
      <c r="N135" s="6"/>
      <c r="O135" s="7"/>
      <c r="P135" s="8"/>
      <c r="Q135" s="4"/>
      <c r="R135" s="9" t="str">
        <f aca="false">IF(N135="Sim","Fechado (Total)",IF(N135="Parcial","Fechado (Parcial)",IF(N135="Não","Perdido",IF(N135="Pendente","Pendente",IF(N135="Não precisa no momento","Não Precisa no Momento",IF(L135="Sim","Plano de Tratamento",IF(J135="Não","Não Compareceu",IF(J135="Sim","Compareceu",IF(H135="Não","Perdido",IF(H135="Sim","Consulta Marcada",IF(A135="","","Novo Paciente")))))))))))</f>
        <v/>
      </c>
      <c r="S135" s="4"/>
      <c r="T135" s="10" t="str">
        <f aca="false">IF(A135="","",SUMPRODUCT(($R$2:R135=R135)*($A$2:A135&lt;&gt;"")))</f>
        <v/>
      </c>
      <c r="U135" s="10" t="str">
        <f aca="false">IF(A135="","",R135&amp;"|"&amp;T135)</f>
        <v/>
      </c>
      <c r="V135" s="10" t="str">
        <f aca="false">IF(G135="","",TEXT(G135,"mm/yyyy"))</f>
        <v/>
      </c>
      <c r="W135" s="10" t="str">
        <f aca="false">IF(P135="","",TEXT(P135,"mm/yyyy"))</f>
        <v/>
      </c>
      <c r="X135" s="10" t="str">
        <f aca="false">IF(A135="","",IF(OR(R135="Fechado (Total)",R135="Fechado (Parcial)"),"Fechado|"&amp;SUMPRODUCT((($R$2:R135="Fechado (Total)")+($R$2:R135="Fechado (Parcial)"))*($A$2:A135&lt;&gt;"")),""))</f>
        <v/>
      </c>
      <c r="Y135" s="10" t="str">
        <f aca="false">IF(A135="","",IF(D135="Indicação",SUMPRODUCT(($D$2:D135="Indicação")*($A$2:A135&lt;&gt;"")),""))</f>
        <v/>
      </c>
      <c r="Z135" s="10" t="str">
        <f aca="false">IF(Y135="","","Indicacao|"&amp;Y135)</f>
        <v/>
      </c>
      <c r="AA135" s="10" t="str">
        <f aca="false">IF(I135="","",TEXT(I135,"mm/yyyy"))</f>
        <v/>
      </c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8"/>
      <c r="H136" s="6"/>
      <c r="I136" s="8"/>
      <c r="J136" s="6"/>
      <c r="K136" s="6"/>
      <c r="L136" s="6"/>
      <c r="M136" s="7"/>
      <c r="N136" s="6"/>
      <c r="O136" s="7"/>
      <c r="P136" s="8"/>
      <c r="Q136" s="4"/>
      <c r="R136" s="9" t="str">
        <f aca="false">IF(N136="Sim","Fechado (Total)",IF(N136="Parcial","Fechado (Parcial)",IF(N136="Não","Perdido",IF(N136="Pendente","Pendente",IF(N136="Não precisa no momento","Não Precisa no Momento",IF(L136="Sim","Plano de Tratamento",IF(J136="Não","Não Compareceu",IF(J136="Sim","Compareceu",IF(H136="Não","Perdido",IF(H136="Sim","Consulta Marcada",IF(A136="","","Novo Paciente")))))))))))</f>
        <v/>
      </c>
      <c r="S136" s="4"/>
      <c r="T136" s="10" t="str">
        <f aca="false">IF(A136="","",SUMPRODUCT(($R$2:R136=R136)*($A$2:A136&lt;&gt;"")))</f>
        <v/>
      </c>
      <c r="U136" s="10" t="str">
        <f aca="false">IF(A136="","",R136&amp;"|"&amp;T136)</f>
        <v/>
      </c>
      <c r="V136" s="10" t="str">
        <f aca="false">IF(G136="","",TEXT(G136,"mm/yyyy"))</f>
        <v/>
      </c>
      <c r="W136" s="10" t="str">
        <f aca="false">IF(P136="","",TEXT(P136,"mm/yyyy"))</f>
        <v/>
      </c>
      <c r="X136" s="10" t="str">
        <f aca="false">IF(A136="","",IF(OR(R136="Fechado (Total)",R136="Fechado (Parcial)"),"Fechado|"&amp;SUMPRODUCT((($R$2:R136="Fechado (Total)")+($R$2:R136="Fechado (Parcial)"))*($A$2:A136&lt;&gt;"")),""))</f>
        <v/>
      </c>
      <c r="Y136" s="10" t="str">
        <f aca="false">IF(A136="","",IF(D136="Indicação",SUMPRODUCT(($D$2:D136="Indicação")*($A$2:A136&lt;&gt;"")),""))</f>
        <v/>
      </c>
      <c r="Z136" s="10" t="str">
        <f aca="false">IF(Y136="","","Indicacao|"&amp;Y136)</f>
        <v/>
      </c>
      <c r="AA136" s="10" t="str">
        <f aca="false">IF(I136="","",TEXT(I136,"mm/yyyy"))</f>
        <v/>
      </c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8"/>
      <c r="H137" s="6"/>
      <c r="I137" s="8"/>
      <c r="J137" s="6"/>
      <c r="K137" s="6"/>
      <c r="L137" s="6"/>
      <c r="M137" s="7"/>
      <c r="N137" s="6"/>
      <c r="O137" s="7"/>
      <c r="P137" s="8"/>
      <c r="Q137" s="4"/>
      <c r="R137" s="9" t="str">
        <f aca="false">IF(N137="Sim","Fechado (Total)",IF(N137="Parcial","Fechado (Parcial)",IF(N137="Não","Perdido",IF(N137="Pendente","Pendente",IF(N137="Não precisa no momento","Não Precisa no Momento",IF(L137="Sim","Plano de Tratamento",IF(J137="Não","Não Compareceu",IF(J137="Sim","Compareceu",IF(H137="Não","Perdido",IF(H137="Sim","Consulta Marcada",IF(A137="","","Novo Paciente")))))))))))</f>
        <v/>
      </c>
      <c r="S137" s="4"/>
      <c r="T137" s="10" t="str">
        <f aca="false">IF(A137="","",SUMPRODUCT(($R$2:R137=R137)*($A$2:A137&lt;&gt;"")))</f>
        <v/>
      </c>
      <c r="U137" s="10" t="str">
        <f aca="false">IF(A137="","",R137&amp;"|"&amp;T137)</f>
        <v/>
      </c>
      <c r="V137" s="10" t="str">
        <f aca="false">IF(G137="","",TEXT(G137,"mm/yyyy"))</f>
        <v/>
      </c>
      <c r="W137" s="10" t="str">
        <f aca="false">IF(P137="","",TEXT(P137,"mm/yyyy"))</f>
        <v/>
      </c>
      <c r="X137" s="10" t="str">
        <f aca="false">IF(A137="","",IF(OR(R137="Fechado (Total)",R137="Fechado (Parcial)"),"Fechado|"&amp;SUMPRODUCT((($R$2:R137="Fechado (Total)")+($R$2:R137="Fechado (Parcial)"))*($A$2:A137&lt;&gt;"")),""))</f>
        <v/>
      </c>
      <c r="Y137" s="10" t="str">
        <f aca="false">IF(A137="","",IF(D137="Indicação",SUMPRODUCT(($D$2:D137="Indicação")*($A$2:A137&lt;&gt;"")),""))</f>
        <v/>
      </c>
      <c r="Z137" s="10" t="str">
        <f aca="false">IF(Y137="","","Indicacao|"&amp;Y137)</f>
        <v/>
      </c>
      <c r="AA137" s="10" t="str">
        <f aca="false">IF(I137="","",TEXT(I137,"mm/yyyy"))</f>
        <v/>
      </c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8"/>
      <c r="H138" s="6"/>
      <c r="I138" s="8"/>
      <c r="J138" s="6"/>
      <c r="K138" s="6"/>
      <c r="L138" s="6"/>
      <c r="M138" s="7"/>
      <c r="N138" s="6"/>
      <c r="O138" s="7"/>
      <c r="P138" s="8"/>
      <c r="Q138" s="4"/>
      <c r="R138" s="9" t="str">
        <f aca="false">IF(N138="Sim","Fechado (Total)",IF(N138="Parcial","Fechado (Parcial)",IF(N138="Não","Perdido",IF(N138="Pendente","Pendente",IF(N138="Não precisa no momento","Não Precisa no Momento",IF(L138="Sim","Plano de Tratamento",IF(J138="Não","Não Compareceu",IF(J138="Sim","Compareceu",IF(H138="Não","Perdido",IF(H138="Sim","Consulta Marcada",IF(A138="","","Novo Paciente")))))))))))</f>
        <v/>
      </c>
      <c r="S138" s="4"/>
      <c r="T138" s="10" t="str">
        <f aca="false">IF(A138="","",SUMPRODUCT(($R$2:R138=R138)*($A$2:A138&lt;&gt;"")))</f>
        <v/>
      </c>
      <c r="U138" s="10" t="str">
        <f aca="false">IF(A138="","",R138&amp;"|"&amp;T138)</f>
        <v/>
      </c>
      <c r="V138" s="10" t="str">
        <f aca="false">IF(G138="","",TEXT(G138,"mm/yyyy"))</f>
        <v/>
      </c>
      <c r="W138" s="10" t="str">
        <f aca="false">IF(P138="","",TEXT(P138,"mm/yyyy"))</f>
        <v/>
      </c>
      <c r="X138" s="10" t="str">
        <f aca="false">IF(A138="","",IF(OR(R138="Fechado (Total)",R138="Fechado (Parcial)"),"Fechado|"&amp;SUMPRODUCT((($R$2:R138="Fechado (Total)")+($R$2:R138="Fechado (Parcial)"))*($A$2:A138&lt;&gt;"")),""))</f>
        <v/>
      </c>
      <c r="Y138" s="10" t="str">
        <f aca="false">IF(A138="","",IF(D138="Indicação",SUMPRODUCT(($D$2:D138="Indicação")*($A$2:A138&lt;&gt;"")),""))</f>
        <v/>
      </c>
      <c r="Z138" s="10" t="str">
        <f aca="false">IF(Y138="","","Indicacao|"&amp;Y138)</f>
        <v/>
      </c>
      <c r="AA138" s="10" t="str">
        <f aca="false">IF(I138="","",TEXT(I138,"mm/yyyy"))</f>
        <v/>
      </c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8"/>
      <c r="H139" s="6"/>
      <c r="I139" s="8"/>
      <c r="J139" s="6"/>
      <c r="K139" s="6"/>
      <c r="L139" s="6"/>
      <c r="M139" s="7"/>
      <c r="N139" s="6"/>
      <c r="O139" s="7"/>
      <c r="P139" s="8"/>
      <c r="Q139" s="4"/>
      <c r="R139" s="9" t="str">
        <f aca="false">IF(N139="Sim","Fechado (Total)",IF(N139="Parcial","Fechado (Parcial)",IF(N139="Não","Perdido",IF(N139="Pendente","Pendente",IF(N139="Não precisa no momento","Não Precisa no Momento",IF(L139="Sim","Plano de Tratamento",IF(J139="Não","Não Compareceu",IF(J139="Sim","Compareceu",IF(H139="Não","Perdido",IF(H139="Sim","Consulta Marcada",IF(A139="","","Novo Paciente")))))))))))</f>
        <v/>
      </c>
      <c r="S139" s="4"/>
      <c r="T139" s="10" t="str">
        <f aca="false">IF(A139="","",SUMPRODUCT(($R$2:R139=R139)*($A$2:A139&lt;&gt;"")))</f>
        <v/>
      </c>
      <c r="U139" s="10" t="str">
        <f aca="false">IF(A139="","",R139&amp;"|"&amp;T139)</f>
        <v/>
      </c>
      <c r="V139" s="10" t="str">
        <f aca="false">IF(G139="","",TEXT(G139,"mm/yyyy"))</f>
        <v/>
      </c>
      <c r="W139" s="10" t="str">
        <f aca="false">IF(P139="","",TEXT(P139,"mm/yyyy"))</f>
        <v/>
      </c>
      <c r="X139" s="10" t="str">
        <f aca="false">IF(A139="","",IF(OR(R139="Fechado (Total)",R139="Fechado (Parcial)"),"Fechado|"&amp;SUMPRODUCT((($R$2:R139="Fechado (Total)")+($R$2:R139="Fechado (Parcial)"))*($A$2:A139&lt;&gt;"")),""))</f>
        <v/>
      </c>
      <c r="Y139" s="10" t="str">
        <f aca="false">IF(A139="","",IF(D139="Indicação",SUMPRODUCT(($D$2:D139="Indicação")*($A$2:A139&lt;&gt;"")),""))</f>
        <v/>
      </c>
      <c r="Z139" s="10" t="str">
        <f aca="false">IF(Y139="","","Indicacao|"&amp;Y139)</f>
        <v/>
      </c>
      <c r="AA139" s="10" t="str">
        <f aca="false">IF(I139="","",TEXT(I139,"mm/yyyy"))</f>
        <v/>
      </c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8"/>
      <c r="H140" s="6"/>
      <c r="I140" s="8"/>
      <c r="J140" s="6"/>
      <c r="K140" s="6"/>
      <c r="L140" s="6"/>
      <c r="M140" s="7"/>
      <c r="N140" s="6"/>
      <c r="O140" s="7"/>
      <c r="P140" s="8"/>
      <c r="Q140" s="4"/>
      <c r="R140" s="9" t="str">
        <f aca="false">IF(N140="Sim","Fechado (Total)",IF(N140="Parcial","Fechado (Parcial)",IF(N140="Não","Perdido",IF(N140="Pendente","Pendente",IF(N140="Não precisa no momento","Não Precisa no Momento",IF(L140="Sim","Plano de Tratamento",IF(J140="Não","Não Compareceu",IF(J140="Sim","Compareceu",IF(H140="Não","Perdido",IF(H140="Sim","Consulta Marcada",IF(A140="","","Novo Paciente")))))))))))</f>
        <v/>
      </c>
      <c r="S140" s="4"/>
      <c r="T140" s="10" t="str">
        <f aca="false">IF(A140="","",SUMPRODUCT(($R$2:R140=R140)*($A$2:A140&lt;&gt;"")))</f>
        <v/>
      </c>
      <c r="U140" s="10" t="str">
        <f aca="false">IF(A140="","",R140&amp;"|"&amp;T140)</f>
        <v/>
      </c>
      <c r="V140" s="10" t="str">
        <f aca="false">IF(G140="","",TEXT(G140,"mm/yyyy"))</f>
        <v/>
      </c>
      <c r="W140" s="10" t="str">
        <f aca="false">IF(P140="","",TEXT(P140,"mm/yyyy"))</f>
        <v/>
      </c>
      <c r="X140" s="10" t="str">
        <f aca="false">IF(A140="","",IF(OR(R140="Fechado (Total)",R140="Fechado (Parcial)"),"Fechado|"&amp;SUMPRODUCT((($R$2:R140="Fechado (Total)")+($R$2:R140="Fechado (Parcial)"))*($A$2:A140&lt;&gt;"")),""))</f>
        <v/>
      </c>
      <c r="Y140" s="10" t="str">
        <f aca="false">IF(A140="","",IF(D140="Indicação",SUMPRODUCT(($D$2:D140="Indicação")*($A$2:A140&lt;&gt;"")),""))</f>
        <v/>
      </c>
      <c r="Z140" s="10" t="str">
        <f aca="false">IF(Y140="","","Indicacao|"&amp;Y140)</f>
        <v/>
      </c>
      <c r="AA140" s="10" t="str">
        <f aca="false">IF(I140="","",TEXT(I140,"mm/yyyy"))</f>
        <v/>
      </c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8"/>
      <c r="H141" s="6"/>
      <c r="I141" s="8"/>
      <c r="J141" s="6"/>
      <c r="K141" s="6"/>
      <c r="L141" s="6"/>
      <c r="M141" s="7"/>
      <c r="N141" s="6"/>
      <c r="O141" s="7"/>
      <c r="P141" s="8"/>
      <c r="Q141" s="4"/>
      <c r="R141" s="9" t="str">
        <f aca="false">IF(N141="Sim","Fechado (Total)",IF(N141="Parcial","Fechado (Parcial)",IF(N141="Não","Perdido",IF(N141="Pendente","Pendente",IF(N141="Não precisa no momento","Não Precisa no Momento",IF(L141="Sim","Plano de Tratamento",IF(J141="Não","Não Compareceu",IF(J141="Sim","Compareceu",IF(H141="Não","Perdido",IF(H141="Sim","Consulta Marcada",IF(A141="","","Novo Paciente")))))))))))</f>
        <v/>
      </c>
      <c r="S141" s="4"/>
      <c r="T141" s="10" t="str">
        <f aca="false">IF(A141="","",SUMPRODUCT(($R$2:R141=R141)*($A$2:A141&lt;&gt;"")))</f>
        <v/>
      </c>
      <c r="U141" s="10" t="str">
        <f aca="false">IF(A141="","",R141&amp;"|"&amp;T141)</f>
        <v/>
      </c>
      <c r="V141" s="10" t="str">
        <f aca="false">IF(G141="","",TEXT(G141,"mm/yyyy"))</f>
        <v/>
      </c>
      <c r="W141" s="10" t="str">
        <f aca="false">IF(P141="","",TEXT(P141,"mm/yyyy"))</f>
        <v/>
      </c>
      <c r="X141" s="10" t="str">
        <f aca="false">IF(A141="","",IF(OR(R141="Fechado (Total)",R141="Fechado (Parcial)"),"Fechado|"&amp;SUMPRODUCT((($R$2:R141="Fechado (Total)")+($R$2:R141="Fechado (Parcial)"))*($A$2:A141&lt;&gt;"")),""))</f>
        <v/>
      </c>
      <c r="Y141" s="10" t="str">
        <f aca="false">IF(A141="","",IF(D141="Indicação",SUMPRODUCT(($D$2:D141="Indicação")*($A$2:A141&lt;&gt;"")),""))</f>
        <v/>
      </c>
      <c r="Z141" s="10" t="str">
        <f aca="false">IF(Y141="","","Indicacao|"&amp;Y141)</f>
        <v/>
      </c>
      <c r="AA141" s="10" t="str">
        <f aca="false">IF(I141="","",TEXT(I141,"mm/yyyy"))</f>
        <v/>
      </c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8"/>
      <c r="H142" s="6"/>
      <c r="I142" s="8"/>
      <c r="J142" s="6"/>
      <c r="K142" s="6"/>
      <c r="L142" s="6"/>
      <c r="M142" s="7"/>
      <c r="N142" s="6"/>
      <c r="O142" s="7"/>
      <c r="P142" s="8"/>
      <c r="Q142" s="4"/>
      <c r="R142" s="9" t="str">
        <f aca="false">IF(N142="Sim","Fechado (Total)",IF(N142="Parcial","Fechado (Parcial)",IF(N142="Não","Perdido",IF(N142="Pendente","Pendente",IF(N142="Não precisa no momento","Não Precisa no Momento",IF(L142="Sim","Plano de Tratamento",IF(J142="Não","Não Compareceu",IF(J142="Sim","Compareceu",IF(H142="Não","Perdido",IF(H142="Sim","Consulta Marcada",IF(A142="","","Novo Paciente")))))))))))</f>
        <v/>
      </c>
      <c r="S142" s="4"/>
      <c r="T142" s="10" t="str">
        <f aca="false">IF(A142="","",SUMPRODUCT(($R$2:R142=R142)*($A$2:A142&lt;&gt;"")))</f>
        <v/>
      </c>
      <c r="U142" s="10" t="str">
        <f aca="false">IF(A142="","",R142&amp;"|"&amp;T142)</f>
        <v/>
      </c>
      <c r="V142" s="10" t="str">
        <f aca="false">IF(G142="","",TEXT(G142,"mm/yyyy"))</f>
        <v/>
      </c>
      <c r="W142" s="10" t="str">
        <f aca="false">IF(P142="","",TEXT(P142,"mm/yyyy"))</f>
        <v/>
      </c>
      <c r="X142" s="10" t="str">
        <f aca="false">IF(A142="","",IF(OR(R142="Fechado (Total)",R142="Fechado (Parcial)"),"Fechado|"&amp;SUMPRODUCT((($R$2:R142="Fechado (Total)")+($R$2:R142="Fechado (Parcial)"))*($A$2:A142&lt;&gt;"")),""))</f>
        <v/>
      </c>
      <c r="Y142" s="10" t="str">
        <f aca="false">IF(A142="","",IF(D142="Indicação",SUMPRODUCT(($D$2:D142="Indicação")*($A$2:A142&lt;&gt;"")),""))</f>
        <v/>
      </c>
      <c r="Z142" s="10" t="str">
        <f aca="false">IF(Y142="","","Indicacao|"&amp;Y142)</f>
        <v/>
      </c>
      <c r="AA142" s="10" t="str">
        <f aca="false">IF(I142="","",TEXT(I142,"mm/yyyy"))</f>
        <v/>
      </c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8"/>
      <c r="H143" s="6"/>
      <c r="I143" s="8"/>
      <c r="J143" s="6"/>
      <c r="K143" s="6"/>
      <c r="L143" s="6"/>
      <c r="M143" s="7"/>
      <c r="N143" s="6"/>
      <c r="O143" s="7"/>
      <c r="P143" s="8"/>
      <c r="Q143" s="4"/>
      <c r="R143" s="9" t="str">
        <f aca="false">IF(N143="Sim","Fechado (Total)",IF(N143="Parcial","Fechado (Parcial)",IF(N143="Não","Perdido",IF(N143="Pendente","Pendente",IF(N143="Não precisa no momento","Não Precisa no Momento",IF(L143="Sim","Plano de Tratamento",IF(J143="Não","Não Compareceu",IF(J143="Sim","Compareceu",IF(H143="Não","Perdido",IF(H143="Sim","Consulta Marcada",IF(A143="","","Novo Paciente")))))))))))</f>
        <v/>
      </c>
      <c r="S143" s="4"/>
      <c r="T143" s="10" t="str">
        <f aca="false">IF(A143="","",SUMPRODUCT(($R$2:R143=R143)*($A$2:A143&lt;&gt;"")))</f>
        <v/>
      </c>
      <c r="U143" s="10" t="str">
        <f aca="false">IF(A143="","",R143&amp;"|"&amp;T143)</f>
        <v/>
      </c>
      <c r="V143" s="10" t="str">
        <f aca="false">IF(G143="","",TEXT(G143,"mm/yyyy"))</f>
        <v/>
      </c>
      <c r="W143" s="10" t="str">
        <f aca="false">IF(P143="","",TEXT(P143,"mm/yyyy"))</f>
        <v/>
      </c>
      <c r="X143" s="10" t="str">
        <f aca="false">IF(A143="","",IF(OR(R143="Fechado (Total)",R143="Fechado (Parcial)"),"Fechado|"&amp;SUMPRODUCT((($R$2:R143="Fechado (Total)")+($R$2:R143="Fechado (Parcial)"))*($A$2:A143&lt;&gt;"")),""))</f>
        <v/>
      </c>
      <c r="Y143" s="10" t="str">
        <f aca="false">IF(A143="","",IF(D143="Indicação",SUMPRODUCT(($D$2:D143="Indicação")*($A$2:A143&lt;&gt;"")),""))</f>
        <v/>
      </c>
      <c r="Z143" s="10" t="str">
        <f aca="false">IF(Y143="","","Indicacao|"&amp;Y143)</f>
        <v/>
      </c>
      <c r="AA143" s="10" t="str">
        <f aca="false">IF(I143="","",TEXT(I143,"mm/yyyy"))</f>
        <v/>
      </c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8"/>
      <c r="H144" s="6"/>
      <c r="I144" s="8"/>
      <c r="J144" s="6"/>
      <c r="K144" s="6"/>
      <c r="L144" s="6"/>
      <c r="M144" s="7"/>
      <c r="N144" s="6"/>
      <c r="O144" s="7"/>
      <c r="P144" s="8"/>
      <c r="Q144" s="4"/>
      <c r="R144" s="9" t="str">
        <f aca="false">IF(N144="Sim","Fechado (Total)",IF(N144="Parcial","Fechado (Parcial)",IF(N144="Não","Perdido",IF(N144="Pendente","Pendente",IF(N144="Não precisa no momento","Não Precisa no Momento",IF(L144="Sim","Plano de Tratamento",IF(J144="Não","Não Compareceu",IF(J144="Sim","Compareceu",IF(H144="Não","Perdido",IF(H144="Sim","Consulta Marcada",IF(A144="","","Novo Paciente")))))))))))</f>
        <v/>
      </c>
      <c r="S144" s="4"/>
      <c r="T144" s="10" t="str">
        <f aca="false">IF(A144="","",SUMPRODUCT(($R$2:R144=R144)*($A$2:A144&lt;&gt;"")))</f>
        <v/>
      </c>
      <c r="U144" s="10" t="str">
        <f aca="false">IF(A144="","",R144&amp;"|"&amp;T144)</f>
        <v/>
      </c>
      <c r="V144" s="10" t="str">
        <f aca="false">IF(G144="","",TEXT(G144,"mm/yyyy"))</f>
        <v/>
      </c>
      <c r="W144" s="10" t="str">
        <f aca="false">IF(P144="","",TEXT(P144,"mm/yyyy"))</f>
        <v/>
      </c>
      <c r="X144" s="10" t="str">
        <f aca="false">IF(A144="","",IF(OR(R144="Fechado (Total)",R144="Fechado (Parcial)"),"Fechado|"&amp;SUMPRODUCT((($R$2:R144="Fechado (Total)")+($R$2:R144="Fechado (Parcial)"))*($A$2:A144&lt;&gt;"")),""))</f>
        <v/>
      </c>
      <c r="Y144" s="10" t="str">
        <f aca="false">IF(A144="","",IF(D144="Indicação",SUMPRODUCT(($D$2:D144="Indicação")*($A$2:A144&lt;&gt;"")),""))</f>
        <v/>
      </c>
      <c r="Z144" s="10" t="str">
        <f aca="false">IF(Y144="","","Indicacao|"&amp;Y144)</f>
        <v/>
      </c>
      <c r="AA144" s="10" t="str">
        <f aca="false">IF(I144="","",TEXT(I144,"mm/yyyy"))</f>
        <v/>
      </c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8"/>
      <c r="H145" s="6"/>
      <c r="I145" s="8"/>
      <c r="J145" s="6"/>
      <c r="K145" s="6"/>
      <c r="L145" s="6"/>
      <c r="M145" s="7"/>
      <c r="N145" s="6"/>
      <c r="O145" s="7"/>
      <c r="P145" s="8"/>
      <c r="Q145" s="4"/>
      <c r="R145" s="9" t="str">
        <f aca="false">IF(N145="Sim","Fechado (Total)",IF(N145="Parcial","Fechado (Parcial)",IF(N145="Não","Perdido",IF(N145="Pendente","Pendente",IF(N145="Não precisa no momento","Não Precisa no Momento",IF(L145="Sim","Plano de Tratamento",IF(J145="Não","Não Compareceu",IF(J145="Sim","Compareceu",IF(H145="Não","Perdido",IF(H145="Sim","Consulta Marcada",IF(A145="","","Novo Paciente")))))))))))</f>
        <v/>
      </c>
      <c r="S145" s="4"/>
      <c r="T145" s="10" t="str">
        <f aca="false">IF(A145="","",SUMPRODUCT(($R$2:R145=R145)*($A$2:A145&lt;&gt;"")))</f>
        <v/>
      </c>
      <c r="U145" s="10" t="str">
        <f aca="false">IF(A145="","",R145&amp;"|"&amp;T145)</f>
        <v/>
      </c>
      <c r="V145" s="10" t="str">
        <f aca="false">IF(G145="","",TEXT(G145,"mm/yyyy"))</f>
        <v/>
      </c>
      <c r="W145" s="10" t="str">
        <f aca="false">IF(P145="","",TEXT(P145,"mm/yyyy"))</f>
        <v/>
      </c>
      <c r="X145" s="10" t="str">
        <f aca="false">IF(A145="","",IF(OR(R145="Fechado (Total)",R145="Fechado (Parcial)"),"Fechado|"&amp;SUMPRODUCT((($R$2:R145="Fechado (Total)")+($R$2:R145="Fechado (Parcial)"))*($A$2:A145&lt;&gt;"")),""))</f>
        <v/>
      </c>
      <c r="Y145" s="10" t="str">
        <f aca="false">IF(A145="","",IF(D145="Indicação",SUMPRODUCT(($D$2:D145="Indicação")*($A$2:A145&lt;&gt;"")),""))</f>
        <v/>
      </c>
      <c r="Z145" s="10" t="str">
        <f aca="false">IF(Y145="","","Indicacao|"&amp;Y145)</f>
        <v/>
      </c>
      <c r="AA145" s="10" t="str">
        <f aca="false">IF(I145="","",TEXT(I145,"mm/yyyy"))</f>
        <v/>
      </c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8"/>
      <c r="H146" s="6"/>
      <c r="I146" s="8"/>
      <c r="J146" s="6"/>
      <c r="K146" s="6"/>
      <c r="L146" s="6"/>
      <c r="M146" s="7"/>
      <c r="N146" s="6"/>
      <c r="O146" s="7"/>
      <c r="P146" s="8"/>
      <c r="Q146" s="4"/>
      <c r="R146" s="9" t="str">
        <f aca="false">IF(N146="Sim","Fechado (Total)",IF(N146="Parcial","Fechado (Parcial)",IF(N146="Não","Perdido",IF(N146="Pendente","Pendente",IF(N146="Não precisa no momento","Não Precisa no Momento",IF(L146="Sim","Plano de Tratamento",IF(J146="Não","Não Compareceu",IF(J146="Sim","Compareceu",IF(H146="Não","Perdido",IF(H146="Sim","Consulta Marcada",IF(A146="","","Novo Paciente")))))))))))</f>
        <v/>
      </c>
      <c r="S146" s="4"/>
      <c r="T146" s="10" t="str">
        <f aca="false">IF(A146="","",SUMPRODUCT(($R$2:R146=R146)*($A$2:A146&lt;&gt;"")))</f>
        <v/>
      </c>
      <c r="U146" s="10" t="str">
        <f aca="false">IF(A146="","",R146&amp;"|"&amp;T146)</f>
        <v/>
      </c>
      <c r="V146" s="10" t="str">
        <f aca="false">IF(G146="","",TEXT(G146,"mm/yyyy"))</f>
        <v/>
      </c>
      <c r="W146" s="10" t="str">
        <f aca="false">IF(P146="","",TEXT(P146,"mm/yyyy"))</f>
        <v/>
      </c>
      <c r="X146" s="10" t="str">
        <f aca="false">IF(A146="","",IF(OR(R146="Fechado (Total)",R146="Fechado (Parcial)"),"Fechado|"&amp;SUMPRODUCT((($R$2:R146="Fechado (Total)")+($R$2:R146="Fechado (Parcial)"))*($A$2:A146&lt;&gt;"")),""))</f>
        <v/>
      </c>
      <c r="Y146" s="10" t="str">
        <f aca="false">IF(A146="","",IF(D146="Indicação",SUMPRODUCT(($D$2:D146="Indicação")*($A$2:A146&lt;&gt;"")),""))</f>
        <v/>
      </c>
      <c r="Z146" s="10" t="str">
        <f aca="false">IF(Y146="","","Indicacao|"&amp;Y146)</f>
        <v/>
      </c>
      <c r="AA146" s="10" t="str">
        <f aca="false">IF(I146="","",TEXT(I146,"mm/yyyy"))</f>
        <v/>
      </c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8"/>
      <c r="H147" s="6"/>
      <c r="I147" s="8"/>
      <c r="J147" s="6"/>
      <c r="K147" s="6"/>
      <c r="L147" s="6"/>
      <c r="M147" s="7"/>
      <c r="N147" s="6"/>
      <c r="O147" s="7"/>
      <c r="P147" s="8"/>
      <c r="Q147" s="4"/>
      <c r="R147" s="9" t="str">
        <f aca="false">IF(N147="Sim","Fechado (Total)",IF(N147="Parcial","Fechado (Parcial)",IF(N147="Não","Perdido",IF(N147="Pendente","Pendente",IF(N147="Não precisa no momento","Não Precisa no Momento",IF(L147="Sim","Plano de Tratamento",IF(J147="Não","Não Compareceu",IF(J147="Sim","Compareceu",IF(H147="Não","Perdido",IF(H147="Sim","Consulta Marcada",IF(A147="","","Novo Paciente")))))))))))</f>
        <v/>
      </c>
      <c r="S147" s="4"/>
      <c r="T147" s="10" t="str">
        <f aca="false">IF(A147="","",SUMPRODUCT(($R$2:R147=R147)*($A$2:A147&lt;&gt;"")))</f>
        <v/>
      </c>
      <c r="U147" s="10" t="str">
        <f aca="false">IF(A147="","",R147&amp;"|"&amp;T147)</f>
        <v/>
      </c>
      <c r="V147" s="10" t="str">
        <f aca="false">IF(G147="","",TEXT(G147,"mm/yyyy"))</f>
        <v/>
      </c>
      <c r="W147" s="10" t="str">
        <f aca="false">IF(P147="","",TEXT(P147,"mm/yyyy"))</f>
        <v/>
      </c>
      <c r="X147" s="10" t="str">
        <f aca="false">IF(A147="","",IF(OR(R147="Fechado (Total)",R147="Fechado (Parcial)"),"Fechado|"&amp;SUMPRODUCT((($R$2:R147="Fechado (Total)")+($R$2:R147="Fechado (Parcial)"))*($A$2:A147&lt;&gt;"")),""))</f>
        <v/>
      </c>
      <c r="Y147" s="10" t="str">
        <f aca="false">IF(A147="","",IF(D147="Indicação",SUMPRODUCT(($D$2:D147="Indicação")*($A$2:A147&lt;&gt;"")),""))</f>
        <v/>
      </c>
      <c r="Z147" s="10" t="str">
        <f aca="false">IF(Y147="","","Indicacao|"&amp;Y147)</f>
        <v/>
      </c>
      <c r="AA147" s="10" t="str">
        <f aca="false">IF(I147="","",TEXT(I147,"mm/yyyy"))</f>
        <v/>
      </c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8"/>
      <c r="H148" s="6"/>
      <c r="I148" s="8"/>
      <c r="J148" s="6"/>
      <c r="K148" s="6"/>
      <c r="L148" s="6"/>
      <c r="M148" s="7"/>
      <c r="N148" s="6"/>
      <c r="O148" s="7"/>
      <c r="P148" s="8"/>
      <c r="Q148" s="4"/>
      <c r="R148" s="9" t="str">
        <f aca="false">IF(N148="Sim","Fechado (Total)",IF(N148="Parcial","Fechado (Parcial)",IF(N148="Não","Perdido",IF(N148="Pendente","Pendente",IF(N148="Não precisa no momento","Não Precisa no Momento",IF(L148="Sim","Plano de Tratamento",IF(J148="Não","Não Compareceu",IF(J148="Sim","Compareceu",IF(H148="Não","Perdido",IF(H148="Sim","Consulta Marcada",IF(A148="","","Novo Paciente")))))))))))</f>
        <v/>
      </c>
      <c r="S148" s="4"/>
      <c r="T148" s="10" t="str">
        <f aca="false">IF(A148="","",SUMPRODUCT(($R$2:R148=R148)*($A$2:A148&lt;&gt;"")))</f>
        <v/>
      </c>
      <c r="U148" s="10" t="str">
        <f aca="false">IF(A148="","",R148&amp;"|"&amp;T148)</f>
        <v/>
      </c>
      <c r="V148" s="10" t="str">
        <f aca="false">IF(G148="","",TEXT(G148,"mm/yyyy"))</f>
        <v/>
      </c>
      <c r="W148" s="10" t="str">
        <f aca="false">IF(P148="","",TEXT(P148,"mm/yyyy"))</f>
        <v/>
      </c>
      <c r="X148" s="10" t="str">
        <f aca="false">IF(A148="","",IF(OR(R148="Fechado (Total)",R148="Fechado (Parcial)"),"Fechado|"&amp;SUMPRODUCT((($R$2:R148="Fechado (Total)")+($R$2:R148="Fechado (Parcial)"))*($A$2:A148&lt;&gt;"")),""))</f>
        <v/>
      </c>
      <c r="Y148" s="10" t="str">
        <f aca="false">IF(A148="","",IF(D148="Indicação",SUMPRODUCT(($D$2:D148="Indicação")*($A$2:A148&lt;&gt;"")),""))</f>
        <v/>
      </c>
      <c r="Z148" s="10" t="str">
        <f aca="false">IF(Y148="","","Indicacao|"&amp;Y148)</f>
        <v/>
      </c>
      <c r="AA148" s="10" t="str">
        <f aca="false">IF(I148="","",TEXT(I148,"mm/yyyy"))</f>
        <v/>
      </c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8"/>
      <c r="H149" s="6"/>
      <c r="I149" s="8"/>
      <c r="J149" s="6"/>
      <c r="K149" s="6"/>
      <c r="L149" s="6"/>
      <c r="M149" s="7"/>
      <c r="N149" s="6"/>
      <c r="O149" s="7"/>
      <c r="P149" s="8"/>
      <c r="Q149" s="4"/>
      <c r="R149" s="9" t="str">
        <f aca="false">IF(N149="Sim","Fechado (Total)",IF(N149="Parcial","Fechado (Parcial)",IF(N149="Não","Perdido",IF(N149="Pendente","Pendente",IF(N149="Não precisa no momento","Não Precisa no Momento",IF(L149="Sim","Plano de Tratamento",IF(J149="Não","Não Compareceu",IF(J149="Sim","Compareceu",IF(H149="Não","Perdido",IF(H149="Sim","Consulta Marcada",IF(A149="","","Novo Paciente")))))))))))</f>
        <v/>
      </c>
      <c r="S149" s="4"/>
      <c r="T149" s="10" t="str">
        <f aca="false">IF(A149="","",SUMPRODUCT(($R$2:R149=R149)*($A$2:A149&lt;&gt;"")))</f>
        <v/>
      </c>
      <c r="U149" s="10" t="str">
        <f aca="false">IF(A149="","",R149&amp;"|"&amp;T149)</f>
        <v/>
      </c>
      <c r="V149" s="10" t="str">
        <f aca="false">IF(G149="","",TEXT(G149,"mm/yyyy"))</f>
        <v/>
      </c>
      <c r="W149" s="10" t="str">
        <f aca="false">IF(P149="","",TEXT(P149,"mm/yyyy"))</f>
        <v/>
      </c>
      <c r="X149" s="10" t="str">
        <f aca="false">IF(A149="","",IF(OR(R149="Fechado (Total)",R149="Fechado (Parcial)"),"Fechado|"&amp;SUMPRODUCT((($R$2:R149="Fechado (Total)")+($R$2:R149="Fechado (Parcial)"))*($A$2:A149&lt;&gt;"")),""))</f>
        <v/>
      </c>
      <c r="Y149" s="10" t="str">
        <f aca="false">IF(A149="","",IF(D149="Indicação",SUMPRODUCT(($D$2:D149="Indicação")*($A$2:A149&lt;&gt;"")),""))</f>
        <v/>
      </c>
      <c r="Z149" s="10" t="str">
        <f aca="false">IF(Y149="","","Indicacao|"&amp;Y149)</f>
        <v/>
      </c>
      <c r="AA149" s="10" t="str">
        <f aca="false">IF(I149="","",TEXT(I149,"mm/yyyy"))</f>
        <v/>
      </c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8"/>
      <c r="H150" s="6"/>
      <c r="I150" s="8"/>
      <c r="J150" s="6"/>
      <c r="K150" s="6"/>
      <c r="L150" s="6"/>
      <c r="M150" s="7"/>
      <c r="N150" s="6"/>
      <c r="O150" s="7"/>
      <c r="P150" s="8"/>
      <c r="Q150" s="4"/>
      <c r="R150" s="9" t="str">
        <f aca="false">IF(N150="Sim","Fechado (Total)",IF(N150="Parcial","Fechado (Parcial)",IF(N150="Não","Perdido",IF(N150="Pendente","Pendente",IF(N150="Não precisa no momento","Não Precisa no Momento",IF(L150="Sim","Plano de Tratamento",IF(J150="Não","Não Compareceu",IF(J150="Sim","Compareceu",IF(H150="Não","Perdido",IF(H150="Sim","Consulta Marcada",IF(A150="","","Novo Paciente")))))))))))</f>
        <v/>
      </c>
      <c r="S150" s="4"/>
      <c r="T150" s="10" t="str">
        <f aca="false">IF(A150="","",SUMPRODUCT(($R$2:R150=R150)*($A$2:A150&lt;&gt;"")))</f>
        <v/>
      </c>
      <c r="U150" s="10" t="str">
        <f aca="false">IF(A150="","",R150&amp;"|"&amp;T150)</f>
        <v/>
      </c>
      <c r="V150" s="10" t="str">
        <f aca="false">IF(G150="","",TEXT(G150,"mm/yyyy"))</f>
        <v/>
      </c>
      <c r="W150" s="10" t="str">
        <f aca="false">IF(P150="","",TEXT(P150,"mm/yyyy"))</f>
        <v/>
      </c>
      <c r="X150" s="10" t="str">
        <f aca="false">IF(A150="","",IF(OR(R150="Fechado (Total)",R150="Fechado (Parcial)"),"Fechado|"&amp;SUMPRODUCT((($R$2:R150="Fechado (Total)")+($R$2:R150="Fechado (Parcial)"))*($A$2:A150&lt;&gt;"")),""))</f>
        <v/>
      </c>
      <c r="Y150" s="10" t="str">
        <f aca="false">IF(A150="","",IF(D150="Indicação",SUMPRODUCT(($D$2:D150="Indicação")*($A$2:A150&lt;&gt;"")),""))</f>
        <v/>
      </c>
      <c r="Z150" s="10" t="str">
        <f aca="false">IF(Y150="","","Indicacao|"&amp;Y150)</f>
        <v/>
      </c>
      <c r="AA150" s="10" t="str">
        <f aca="false">IF(I150="","",TEXT(I150,"mm/yyyy"))</f>
        <v/>
      </c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8"/>
      <c r="H151" s="6"/>
      <c r="I151" s="8"/>
      <c r="J151" s="6"/>
      <c r="K151" s="6"/>
      <c r="L151" s="6"/>
      <c r="M151" s="7"/>
      <c r="N151" s="6"/>
      <c r="O151" s="7"/>
      <c r="P151" s="8"/>
      <c r="Q151" s="4"/>
      <c r="R151" s="9" t="str">
        <f aca="false">IF(N151="Sim","Fechado (Total)",IF(N151="Parcial","Fechado (Parcial)",IF(N151="Não","Perdido",IF(N151="Pendente","Pendente",IF(N151="Não precisa no momento","Não Precisa no Momento",IF(L151="Sim","Plano de Tratamento",IF(J151="Não","Não Compareceu",IF(J151="Sim","Compareceu",IF(H151="Não","Perdido",IF(H151="Sim","Consulta Marcada",IF(A151="","","Novo Paciente")))))))))))</f>
        <v/>
      </c>
      <c r="S151" s="4"/>
      <c r="T151" s="10" t="str">
        <f aca="false">IF(A151="","",SUMPRODUCT(($R$2:R151=R151)*($A$2:A151&lt;&gt;"")))</f>
        <v/>
      </c>
      <c r="U151" s="10" t="str">
        <f aca="false">IF(A151="","",R151&amp;"|"&amp;T151)</f>
        <v/>
      </c>
      <c r="V151" s="10" t="str">
        <f aca="false">IF(G151="","",TEXT(G151,"mm/yyyy"))</f>
        <v/>
      </c>
      <c r="W151" s="10" t="str">
        <f aca="false">IF(P151="","",TEXT(P151,"mm/yyyy"))</f>
        <v/>
      </c>
      <c r="X151" s="10" t="str">
        <f aca="false">IF(A151="","",IF(OR(R151="Fechado (Total)",R151="Fechado (Parcial)"),"Fechado|"&amp;SUMPRODUCT((($R$2:R151="Fechado (Total)")+($R$2:R151="Fechado (Parcial)"))*($A$2:A151&lt;&gt;"")),""))</f>
        <v/>
      </c>
      <c r="Y151" s="10" t="str">
        <f aca="false">IF(A151="","",IF(D151="Indicação",SUMPRODUCT(($D$2:D151="Indicação")*($A$2:A151&lt;&gt;"")),""))</f>
        <v/>
      </c>
      <c r="Z151" s="10" t="str">
        <f aca="false">IF(Y151="","","Indicacao|"&amp;Y151)</f>
        <v/>
      </c>
      <c r="AA151" s="10" t="str">
        <f aca="false">IF(I151="","",TEXT(I151,"mm/yyyy"))</f>
        <v/>
      </c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8"/>
      <c r="H152" s="6"/>
      <c r="I152" s="8"/>
      <c r="J152" s="6"/>
      <c r="K152" s="6"/>
      <c r="L152" s="6"/>
      <c r="M152" s="7"/>
      <c r="N152" s="6"/>
      <c r="O152" s="7"/>
      <c r="P152" s="8"/>
      <c r="Q152" s="4"/>
      <c r="R152" s="9" t="str">
        <f aca="false">IF(N152="Sim","Fechado (Total)",IF(N152="Parcial","Fechado (Parcial)",IF(N152="Não","Perdido",IF(N152="Pendente","Pendente",IF(N152="Não precisa no momento","Não Precisa no Momento",IF(L152="Sim","Plano de Tratamento",IF(J152="Não","Não Compareceu",IF(J152="Sim","Compareceu",IF(H152="Não","Perdido",IF(H152="Sim","Consulta Marcada",IF(A152="","","Novo Paciente")))))))))))</f>
        <v/>
      </c>
      <c r="S152" s="4"/>
      <c r="T152" s="10" t="str">
        <f aca="false">IF(A152="","",SUMPRODUCT(($R$2:R152=R152)*($A$2:A152&lt;&gt;"")))</f>
        <v/>
      </c>
      <c r="U152" s="10" t="str">
        <f aca="false">IF(A152="","",R152&amp;"|"&amp;T152)</f>
        <v/>
      </c>
      <c r="V152" s="10" t="str">
        <f aca="false">IF(G152="","",TEXT(G152,"mm/yyyy"))</f>
        <v/>
      </c>
      <c r="W152" s="10" t="str">
        <f aca="false">IF(P152="","",TEXT(P152,"mm/yyyy"))</f>
        <v/>
      </c>
      <c r="X152" s="10" t="str">
        <f aca="false">IF(A152="","",IF(OR(R152="Fechado (Total)",R152="Fechado (Parcial)"),"Fechado|"&amp;SUMPRODUCT((($R$2:R152="Fechado (Total)")+($R$2:R152="Fechado (Parcial)"))*($A$2:A152&lt;&gt;"")),""))</f>
        <v/>
      </c>
      <c r="Y152" s="10" t="str">
        <f aca="false">IF(A152="","",IF(D152="Indicação",SUMPRODUCT(($D$2:D152="Indicação")*($A$2:A152&lt;&gt;"")),""))</f>
        <v/>
      </c>
      <c r="Z152" s="10" t="str">
        <f aca="false">IF(Y152="","","Indicacao|"&amp;Y152)</f>
        <v/>
      </c>
      <c r="AA152" s="10" t="str">
        <f aca="false">IF(I152="","",TEXT(I152,"mm/yyyy"))</f>
        <v/>
      </c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8"/>
      <c r="H153" s="6"/>
      <c r="I153" s="8"/>
      <c r="J153" s="6"/>
      <c r="K153" s="6"/>
      <c r="L153" s="6"/>
      <c r="M153" s="7"/>
      <c r="N153" s="6"/>
      <c r="O153" s="7"/>
      <c r="P153" s="8"/>
      <c r="Q153" s="4"/>
      <c r="R153" s="9" t="str">
        <f aca="false">IF(N153="Sim","Fechado (Total)",IF(N153="Parcial","Fechado (Parcial)",IF(N153="Não","Perdido",IF(N153="Pendente","Pendente",IF(N153="Não precisa no momento","Não Precisa no Momento",IF(L153="Sim","Plano de Tratamento",IF(J153="Não","Não Compareceu",IF(J153="Sim","Compareceu",IF(H153="Não","Perdido",IF(H153="Sim","Consulta Marcada",IF(A153="","","Novo Paciente")))))))))))</f>
        <v/>
      </c>
      <c r="S153" s="4"/>
      <c r="T153" s="10" t="str">
        <f aca="false">IF(A153="","",SUMPRODUCT(($R$2:R153=R153)*($A$2:A153&lt;&gt;"")))</f>
        <v/>
      </c>
      <c r="U153" s="10" t="str">
        <f aca="false">IF(A153="","",R153&amp;"|"&amp;T153)</f>
        <v/>
      </c>
      <c r="V153" s="10" t="str">
        <f aca="false">IF(G153="","",TEXT(G153,"mm/yyyy"))</f>
        <v/>
      </c>
      <c r="W153" s="10" t="str">
        <f aca="false">IF(P153="","",TEXT(P153,"mm/yyyy"))</f>
        <v/>
      </c>
      <c r="X153" s="10" t="str">
        <f aca="false">IF(A153="","",IF(OR(R153="Fechado (Total)",R153="Fechado (Parcial)"),"Fechado|"&amp;SUMPRODUCT((($R$2:R153="Fechado (Total)")+($R$2:R153="Fechado (Parcial)"))*($A$2:A153&lt;&gt;"")),""))</f>
        <v/>
      </c>
      <c r="Y153" s="10" t="str">
        <f aca="false">IF(A153="","",IF(D153="Indicação",SUMPRODUCT(($D$2:D153="Indicação")*($A$2:A153&lt;&gt;"")),""))</f>
        <v/>
      </c>
      <c r="Z153" s="10" t="str">
        <f aca="false">IF(Y153="","","Indicacao|"&amp;Y153)</f>
        <v/>
      </c>
      <c r="AA153" s="10" t="str">
        <f aca="false">IF(I153="","",TEXT(I153,"mm/yyyy"))</f>
        <v/>
      </c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8"/>
      <c r="H154" s="6"/>
      <c r="I154" s="8"/>
      <c r="J154" s="6"/>
      <c r="K154" s="6"/>
      <c r="L154" s="6"/>
      <c r="M154" s="7"/>
      <c r="N154" s="6"/>
      <c r="O154" s="7"/>
      <c r="P154" s="8"/>
      <c r="Q154" s="4"/>
      <c r="R154" s="9" t="str">
        <f aca="false">IF(N154="Sim","Fechado (Total)",IF(N154="Parcial","Fechado (Parcial)",IF(N154="Não","Perdido",IF(N154="Pendente","Pendente",IF(N154="Não precisa no momento","Não Precisa no Momento",IF(L154="Sim","Plano de Tratamento",IF(J154="Não","Não Compareceu",IF(J154="Sim","Compareceu",IF(H154="Não","Perdido",IF(H154="Sim","Consulta Marcada",IF(A154="","","Novo Paciente")))))))))))</f>
        <v/>
      </c>
      <c r="S154" s="4"/>
      <c r="T154" s="10" t="str">
        <f aca="false">IF(A154="","",SUMPRODUCT(($R$2:R154=R154)*($A$2:A154&lt;&gt;"")))</f>
        <v/>
      </c>
      <c r="U154" s="10" t="str">
        <f aca="false">IF(A154="","",R154&amp;"|"&amp;T154)</f>
        <v/>
      </c>
      <c r="V154" s="10" t="str">
        <f aca="false">IF(G154="","",TEXT(G154,"mm/yyyy"))</f>
        <v/>
      </c>
      <c r="W154" s="10" t="str">
        <f aca="false">IF(P154="","",TEXT(P154,"mm/yyyy"))</f>
        <v/>
      </c>
      <c r="X154" s="10" t="str">
        <f aca="false">IF(A154="","",IF(OR(R154="Fechado (Total)",R154="Fechado (Parcial)"),"Fechado|"&amp;SUMPRODUCT((($R$2:R154="Fechado (Total)")+($R$2:R154="Fechado (Parcial)"))*($A$2:A154&lt;&gt;"")),""))</f>
        <v/>
      </c>
      <c r="Y154" s="10" t="str">
        <f aca="false">IF(A154="","",IF(D154="Indicação",SUMPRODUCT(($D$2:D154="Indicação")*($A$2:A154&lt;&gt;"")),""))</f>
        <v/>
      </c>
      <c r="Z154" s="10" t="str">
        <f aca="false">IF(Y154="","","Indicacao|"&amp;Y154)</f>
        <v/>
      </c>
      <c r="AA154" s="10" t="str">
        <f aca="false">IF(I154="","",TEXT(I154,"mm/yyyy"))</f>
        <v/>
      </c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8"/>
      <c r="H155" s="6"/>
      <c r="I155" s="8"/>
      <c r="J155" s="6"/>
      <c r="K155" s="6"/>
      <c r="L155" s="6"/>
      <c r="M155" s="7"/>
      <c r="N155" s="6"/>
      <c r="O155" s="7"/>
      <c r="P155" s="8"/>
      <c r="Q155" s="4"/>
      <c r="R155" s="9" t="str">
        <f aca="false">IF(N155="Sim","Fechado (Total)",IF(N155="Parcial","Fechado (Parcial)",IF(N155="Não","Perdido",IF(N155="Pendente","Pendente",IF(N155="Não precisa no momento","Não Precisa no Momento",IF(L155="Sim","Plano de Tratamento",IF(J155="Não","Não Compareceu",IF(J155="Sim","Compareceu",IF(H155="Não","Perdido",IF(H155="Sim","Consulta Marcada",IF(A155="","","Novo Paciente")))))))))))</f>
        <v/>
      </c>
      <c r="S155" s="4"/>
      <c r="T155" s="10" t="str">
        <f aca="false">IF(A155="","",SUMPRODUCT(($R$2:R155=R155)*($A$2:A155&lt;&gt;"")))</f>
        <v/>
      </c>
      <c r="U155" s="10" t="str">
        <f aca="false">IF(A155="","",R155&amp;"|"&amp;T155)</f>
        <v/>
      </c>
      <c r="V155" s="10" t="str">
        <f aca="false">IF(G155="","",TEXT(G155,"mm/yyyy"))</f>
        <v/>
      </c>
      <c r="W155" s="10" t="str">
        <f aca="false">IF(P155="","",TEXT(P155,"mm/yyyy"))</f>
        <v/>
      </c>
      <c r="X155" s="10" t="str">
        <f aca="false">IF(A155="","",IF(OR(R155="Fechado (Total)",R155="Fechado (Parcial)"),"Fechado|"&amp;SUMPRODUCT((($R$2:R155="Fechado (Total)")+($R$2:R155="Fechado (Parcial)"))*($A$2:A155&lt;&gt;"")),""))</f>
        <v/>
      </c>
      <c r="Y155" s="10" t="str">
        <f aca="false">IF(A155="","",IF(D155="Indicação",SUMPRODUCT(($D$2:D155="Indicação")*($A$2:A155&lt;&gt;"")),""))</f>
        <v/>
      </c>
      <c r="Z155" s="10" t="str">
        <f aca="false">IF(Y155="","","Indicacao|"&amp;Y155)</f>
        <v/>
      </c>
      <c r="AA155" s="10" t="str">
        <f aca="false">IF(I155="","",TEXT(I155,"mm/yyyy"))</f>
        <v/>
      </c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8"/>
      <c r="H156" s="6"/>
      <c r="I156" s="8"/>
      <c r="J156" s="6"/>
      <c r="K156" s="6"/>
      <c r="L156" s="6"/>
      <c r="M156" s="7"/>
      <c r="N156" s="6"/>
      <c r="O156" s="7"/>
      <c r="P156" s="8"/>
      <c r="Q156" s="4"/>
      <c r="R156" s="9" t="str">
        <f aca="false">IF(N156="Sim","Fechado (Total)",IF(N156="Parcial","Fechado (Parcial)",IF(N156="Não","Perdido",IF(N156="Pendente","Pendente",IF(N156="Não precisa no momento","Não Precisa no Momento",IF(L156="Sim","Plano de Tratamento",IF(J156="Não","Não Compareceu",IF(J156="Sim","Compareceu",IF(H156="Não","Perdido",IF(H156="Sim","Consulta Marcada",IF(A156="","","Novo Paciente")))))))))))</f>
        <v/>
      </c>
      <c r="S156" s="4"/>
      <c r="T156" s="10" t="str">
        <f aca="false">IF(A156="","",SUMPRODUCT(($R$2:R156=R156)*($A$2:A156&lt;&gt;"")))</f>
        <v/>
      </c>
      <c r="U156" s="10" t="str">
        <f aca="false">IF(A156="","",R156&amp;"|"&amp;T156)</f>
        <v/>
      </c>
      <c r="V156" s="10" t="str">
        <f aca="false">IF(G156="","",TEXT(G156,"mm/yyyy"))</f>
        <v/>
      </c>
      <c r="W156" s="10" t="str">
        <f aca="false">IF(P156="","",TEXT(P156,"mm/yyyy"))</f>
        <v/>
      </c>
      <c r="X156" s="10" t="str">
        <f aca="false">IF(A156="","",IF(OR(R156="Fechado (Total)",R156="Fechado (Parcial)"),"Fechado|"&amp;SUMPRODUCT((($R$2:R156="Fechado (Total)")+($R$2:R156="Fechado (Parcial)"))*($A$2:A156&lt;&gt;"")),""))</f>
        <v/>
      </c>
      <c r="Y156" s="10" t="str">
        <f aca="false">IF(A156="","",IF(D156="Indicação",SUMPRODUCT(($D$2:D156="Indicação")*($A$2:A156&lt;&gt;"")),""))</f>
        <v/>
      </c>
      <c r="Z156" s="10" t="str">
        <f aca="false">IF(Y156="","","Indicacao|"&amp;Y156)</f>
        <v/>
      </c>
      <c r="AA156" s="10" t="str">
        <f aca="false">IF(I156="","",TEXT(I156,"mm/yyyy"))</f>
        <v/>
      </c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8"/>
      <c r="H157" s="6"/>
      <c r="I157" s="8"/>
      <c r="J157" s="6"/>
      <c r="K157" s="6"/>
      <c r="L157" s="6"/>
      <c r="M157" s="7"/>
      <c r="N157" s="6"/>
      <c r="O157" s="7"/>
      <c r="P157" s="8"/>
      <c r="Q157" s="4"/>
      <c r="R157" s="9" t="str">
        <f aca="false">IF(N157="Sim","Fechado (Total)",IF(N157="Parcial","Fechado (Parcial)",IF(N157="Não","Perdido",IF(N157="Pendente","Pendente",IF(N157="Não precisa no momento","Não Precisa no Momento",IF(L157="Sim","Plano de Tratamento",IF(J157="Não","Não Compareceu",IF(J157="Sim","Compareceu",IF(H157="Não","Perdido",IF(H157="Sim","Consulta Marcada",IF(A157="","","Novo Paciente")))))))))))</f>
        <v/>
      </c>
      <c r="S157" s="4"/>
      <c r="T157" s="10" t="str">
        <f aca="false">IF(A157="","",SUMPRODUCT(($R$2:R157=R157)*($A$2:A157&lt;&gt;"")))</f>
        <v/>
      </c>
      <c r="U157" s="10" t="str">
        <f aca="false">IF(A157="","",R157&amp;"|"&amp;T157)</f>
        <v/>
      </c>
      <c r="V157" s="10" t="str">
        <f aca="false">IF(G157="","",TEXT(G157,"mm/yyyy"))</f>
        <v/>
      </c>
      <c r="W157" s="10" t="str">
        <f aca="false">IF(P157="","",TEXT(P157,"mm/yyyy"))</f>
        <v/>
      </c>
      <c r="X157" s="10" t="str">
        <f aca="false">IF(A157="","",IF(OR(R157="Fechado (Total)",R157="Fechado (Parcial)"),"Fechado|"&amp;SUMPRODUCT((($R$2:R157="Fechado (Total)")+($R$2:R157="Fechado (Parcial)"))*($A$2:A157&lt;&gt;"")),""))</f>
        <v/>
      </c>
      <c r="Y157" s="10" t="str">
        <f aca="false">IF(A157="","",IF(D157="Indicação",SUMPRODUCT(($D$2:D157="Indicação")*($A$2:A157&lt;&gt;"")),""))</f>
        <v/>
      </c>
      <c r="Z157" s="10" t="str">
        <f aca="false">IF(Y157="","","Indicacao|"&amp;Y157)</f>
        <v/>
      </c>
      <c r="AA157" s="10" t="str">
        <f aca="false">IF(I157="","",TEXT(I157,"mm/yyyy"))</f>
        <v/>
      </c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8"/>
      <c r="H158" s="6"/>
      <c r="I158" s="8"/>
      <c r="J158" s="6"/>
      <c r="K158" s="6"/>
      <c r="L158" s="6"/>
      <c r="M158" s="7"/>
      <c r="N158" s="6"/>
      <c r="O158" s="7"/>
      <c r="P158" s="8"/>
      <c r="Q158" s="4"/>
      <c r="R158" s="9" t="str">
        <f aca="false">IF(N158="Sim","Fechado (Total)",IF(N158="Parcial","Fechado (Parcial)",IF(N158="Não","Perdido",IF(N158="Pendente","Pendente",IF(N158="Não precisa no momento","Não Precisa no Momento",IF(L158="Sim","Plano de Tratamento",IF(J158="Não","Não Compareceu",IF(J158="Sim","Compareceu",IF(H158="Não","Perdido",IF(H158="Sim","Consulta Marcada",IF(A158="","","Novo Paciente")))))))))))</f>
        <v/>
      </c>
      <c r="S158" s="4"/>
      <c r="T158" s="10" t="str">
        <f aca="false">IF(A158="","",SUMPRODUCT(($R$2:R158=R158)*($A$2:A158&lt;&gt;"")))</f>
        <v/>
      </c>
      <c r="U158" s="10" t="str">
        <f aca="false">IF(A158="","",R158&amp;"|"&amp;T158)</f>
        <v/>
      </c>
      <c r="V158" s="10" t="str">
        <f aca="false">IF(G158="","",TEXT(G158,"mm/yyyy"))</f>
        <v/>
      </c>
      <c r="W158" s="10" t="str">
        <f aca="false">IF(P158="","",TEXT(P158,"mm/yyyy"))</f>
        <v/>
      </c>
      <c r="X158" s="10" t="str">
        <f aca="false">IF(A158="","",IF(OR(R158="Fechado (Total)",R158="Fechado (Parcial)"),"Fechado|"&amp;SUMPRODUCT((($R$2:R158="Fechado (Total)")+($R$2:R158="Fechado (Parcial)"))*($A$2:A158&lt;&gt;"")),""))</f>
        <v/>
      </c>
      <c r="Y158" s="10" t="str">
        <f aca="false">IF(A158="","",IF(D158="Indicação",SUMPRODUCT(($D$2:D158="Indicação")*($A$2:A158&lt;&gt;"")),""))</f>
        <v/>
      </c>
      <c r="Z158" s="10" t="str">
        <f aca="false">IF(Y158="","","Indicacao|"&amp;Y158)</f>
        <v/>
      </c>
      <c r="AA158" s="10" t="str">
        <f aca="false">IF(I158="","",TEXT(I158,"mm/yyyy"))</f>
        <v/>
      </c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8"/>
      <c r="H159" s="6"/>
      <c r="I159" s="8"/>
      <c r="J159" s="6"/>
      <c r="K159" s="6"/>
      <c r="L159" s="6"/>
      <c r="M159" s="7"/>
      <c r="N159" s="6"/>
      <c r="O159" s="7"/>
      <c r="P159" s="8"/>
      <c r="Q159" s="4"/>
      <c r="R159" s="9" t="str">
        <f aca="false">IF(N159="Sim","Fechado (Total)",IF(N159="Parcial","Fechado (Parcial)",IF(N159="Não","Perdido",IF(N159="Pendente","Pendente",IF(N159="Não precisa no momento","Não Precisa no Momento",IF(L159="Sim","Plano de Tratamento",IF(J159="Não","Não Compareceu",IF(J159="Sim","Compareceu",IF(H159="Não","Perdido",IF(H159="Sim","Consulta Marcada",IF(A159="","","Novo Paciente")))))))))))</f>
        <v/>
      </c>
      <c r="S159" s="4"/>
      <c r="T159" s="10" t="str">
        <f aca="false">IF(A159="","",SUMPRODUCT(($R$2:R159=R159)*($A$2:A159&lt;&gt;"")))</f>
        <v/>
      </c>
      <c r="U159" s="10" t="str">
        <f aca="false">IF(A159="","",R159&amp;"|"&amp;T159)</f>
        <v/>
      </c>
      <c r="V159" s="10" t="str">
        <f aca="false">IF(G159="","",TEXT(G159,"mm/yyyy"))</f>
        <v/>
      </c>
      <c r="W159" s="10" t="str">
        <f aca="false">IF(P159="","",TEXT(P159,"mm/yyyy"))</f>
        <v/>
      </c>
      <c r="X159" s="10" t="str">
        <f aca="false">IF(A159="","",IF(OR(R159="Fechado (Total)",R159="Fechado (Parcial)"),"Fechado|"&amp;SUMPRODUCT((($R$2:R159="Fechado (Total)")+($R$2:R159="Fechado (Parcial)"))*($A$2:A159&lt;&gt;"")),""))</f>
        <v/>
      </c>
      <c r="Y159" s="10" t="str">
        <f aca="false">IF(A159="","",IF(D159="Indicação",SUMPRODUCT(($D$2:D159="Indicação")*($A$2:A159&lt;&gt;"")),""))</f>
        <v/>
      </c>
      <c r="Z159" s="10" t="str">
        <f aca="false">IF(Y159="","","Indicacao|"&amp;Y159)</f>
        <v/>
      </c>
      <c r="AA159" s="10" t="str">
        <f aca="false">IF(I159="","",TEXT(I159,"mm/yyyy"))</f>
        <v/>
      </c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8"/>
      <c r="H160" s="6"/>
      <c r="I160" s="8"/>
      <c r="J160" s="6"/>
      <c r="K160" s="6"/>
      <c r="L160" s="6"/>
      <c r="M160" s="7"/>
      <c r="N160" s="6"/>
      <c r="O160" s="7"/>
      <c r="P160" s="8"/>
      <c r="Q160" s="4"/>
      <c r="R160" s="9" t="str">
        <f aca="false">IF(N160="Sim","Fechado (Total)",IF(N160="Parcial","Fechado (Parcial)",IF(N160="Não","Perdido",IF(N160="Pendente","Pendente",IF(N160="Não precisa no momento","Não Precisa no Momento",IF(L160="Sim","Plano de Tratamento",IF(J160="Não","Não Compareceu",IF(J160="Sim","Compareceu",IF(H160="Não","Perdido",IF(H160="Sim","Consulta Marcada",IF(A160="","","Novo Paciente")))))))))))</f>
        <v/>
      </c>
      <c r="S160" s="4"/>
      <c r="T160" s="10" t="str">
        <f aca="false">IF(A160="","",SUMPRODUCT(($R$2:R160=R160)*($A$2:A160&lt;&gt;"")))</f>
        <v/>
      </c>
      <c r="U160" s="10" t="str">
        <f aca="false">IF(A160="","",R160&amp;"|"&amp;T160)</f>
        <v/>
      </c>
      <c r="V160" s="10" t="str">
        <f aca="false">IF(G160="","",TEXT(G160,"mm/yyyy"))</f>
        <v/>
      </c>
      <c r="W160" s="10" t="str">
        <f aca="false">IF(P160="","",TEXT(P160,"mm/yyyy"))</f>
        <v/>
      </c>
      <c r="X160" s="10" t="str">
        <f aca="false">IF(A160="","",IF(OR(R160="Fechado (Total)",R160="Fechado (Parcial)"),"Fechado|"&amp;SUMPRODUCT((($R$2:R160="Fechado (Total)")+($R$2:R160="Fechado (Parcial)"))*($A$2:A160&lt;&gt;"")),""))</f>
        <v/>
      </c>
      <c r="Y160" s="10" t="str">
        <f aca="false">IF(A160="","",IF(D160="Indicação",SUMPRODUCT(($D$2:D160="Indicação")*($A$2:A160&lt;&gt;"")),""))</f>
        <v/>
      </c>
      <c r="Z160" s="10" t="str">
        <f aca="false">IF(Y160="","","Indicacao|"&amp;Y160)</f>
        <v/>
      </c>
      <c r="AA160" s="10" t="str">
        <f aca="false">IF(I160="","",TEXT(I160,"mm/yyyy"))</f>
        <v/>
      </c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8"/>
      <c r="H161" s="6"/>
      <c r="I161" s="8"/>
      <c r="J161" s="6"/>
      <c r="K161" s="6"/>
      <c r="L161" s="6"/>
      <c r="M161" s="7"/>
      <c r="N161" s="6"/>
      <c r="O161" s="7"/>
      <c r="P161" s="8"/>
      <c r="Q161" s="4"/>
      <c r="R161" s="9" t="str">
        <f aca="false">IF(N161="Sim","Fechado (Total)",IF(N161="Parcial","Fechado (Parcial)",IF(N161="Não","Perdido",IF(N161="Pendente","Pendente",IF(N161="Não precisa no momento","Não Precisa no Momento",IF(L161="Sim","Plano de Tratamento",IF(J161="Não","Não Compareceu",IF(J161="Sim","Compareceu",IF(H161="Não","Perdido",IF(H161="Sim","Consulta Marcada",IF(A161="","","Novo Paciente")))))))))))</f>
        <v/>
      </c>
      <c r="S161" s="4"/>
      <c r="T161" s="10" t="str">
        <f aca="false">IF(A161="","",SUMPRODUCT(($R$2:R161=R161)*($A$2:A161&lt;&gt;"")))</f>
        <v/>
      </c>
      <c r="U161" s="10" t="str">
        <f aca="false">IF(A161="","",R161&amp;"|"&amp;T161)</f>
        <v/>
      </c>
      <c r="V161" s="10" t="str">
        <f aca="false">IF(G161="","",TEXT(G161,"mm/yyyy"))</f>
        <v/>
      </c>
      <c r="W161" s="10" t="str">
        <f aca="false">IF(P161="","",TEXT(P161,"mm/yyyy"))</f>
        <v/>
      </c>
      <c r="X161" s="10" t="str">
        <f aca="false">IF(A161="","",IF(OR(R161="Fechado (Total)",R161="Fechado (Parcial)"),"Fechado|"&amp;SUMPRODUCT((($R$2:R161="Fechado (Total)")+($R$2:R161="Fechado (Parcial)"))*($A$2:A161&lt;&gt;"")),""))</f>
        <v/>
      </c>
      <c r="Y161" s="10" t="str">
        <f aca="false">IF(A161="","",IF(D161="Indicação",SUMPRODUCT(($D$2:D161="Indicação")*($A$2:A161&lt;&gt;"")),""))</f>
        <v/>
      </c>
      <c r="Z161" s="10" t="str">
        <f aca="false">IF(Y161="","","Indicacao|"&amp;Y161)</f>
        <v/>
      </c>
      <c r="AA161" s="10" t="str">
        <f aca="false">IF(I161="","",TEXT(I161,"mm/yyyy"))</f>
        <v/>
      </c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8"/>
      <c r="H162" s="6"/>
      <c r="I162" s="8"/>
      <c r="J162" s="6"/>
      <c r="K162" s="6"/>
      <c r="L162" s="6"/>
      <c r="M162" s="7"/>
      <c r="N162" s="6"/>
      <c r="O162" s="7"/>
      <c r="P162" s="8"/>
      <c r="Q162" s="4"/>
      <c r="R162" s="9" t="str">
        <f aca="false">IF(N162="Sim","Fechado (Total)",IF(N162="Parcial","Fechado (Parcial)",IF(N162="Não","Perdido",IF(N162="Pendente","Pendente",IF(N162="Não precisa no momento","Não Precisa no Momento",IF(L162="Sim","Plano de Tratamento",IF(J162="Não","Não Compareceu",IF(J162="Sim","Compareceu",IF(H162="Não","Perdido",IF(H162="Sim","Consulta Marcada",IF(A162="","","Novo Paciente")))))))))))</f>
        <v/>
      </c>
      <c r="S162" s="4"/>
      <c r="T162" s="10" t="str">
        <f aca="false">IF(A162="","",SUMPRODUCT(($R$2:R162=R162)*($A$2:A162&lt;&gt;"")))</f>
        <v/>
      </c>
      <c r="U162" s="10" t="str">
        <f aca="false">IF(A162="","",R162&amp;"|"&amp;T162)</f>
        <v/>
      </c>
      <c r="V162" s="10" t="str">
        <f aca="false">IF(G162="","",TEXT(G162,"mm/yyyy"))</f>
        <v/>
      </c>
      <c r="W162" s="10" t="str">
        <f aca="false">IF(P162="","",TEXT(P162,"mm/yyyy"))</f>
        <v/>
      </c>
      <c r="X162" s="10" t="str">
        <f aca="false">IF(A162="","",IF(OR(R162="Fechado (Total)",R162="Fechado (Parcial)"),"Fechado|"&amp;SUMPRODUCT((($R$2:R162="Fechado (Total)")+($R$2:R162="Fechado (Parcial)"))*($A$2:A162&lt;&gt;"")),""))</f>
        <v/>
      </c>
      <c r="Y162" s="10" t="str">
        <f aca="false">IF(A162="","",IF(D162="Indicação",SUMPRODUCT(($D$2:D162="Indicação")*($A$2:A162&lt;&gt;"")),""))</f>
        <v/>
      </c>
      <c r="Z162" s="10" t="str">
        <f aca="false">IF(Y162="","","Indicacao|"&amp;Y162)</f>
        <v/>
      </c>
      <c r="AA162" s="10" t="str">
        <f aca="false">IF(I162="","",TEXT(I162,"mm/yyyy"))</f>
        <v/>
      </c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8"/>
      <c r="H163" s="6"/>
      <c r="I163" s="8"/>
      <c r="J163" s="6"/>
      <c r="K163" s="6"/>
      <c r="L163" s="6"/>
      <c r="M163" s="7"/>
      <c r="N163" s="6"/>
      <c r="O163" s="7"/>
      <c r="P163" s="8"/>
      <c r="Q163" s="4"/>
      <c r="R163" s="9" t="str">
        <f aca="false">IF(N163="Sim","Fechado (Total)",IF(N163="Parcial","Fechado (Parcial)",IF(N163="Não","Perdido",IF(N163="Pendente","Pendente",IF(N163="Não precisa no momento","Não Precisa no Momento",IF(L163="Sim","Plano de Tratamento",IF(J163="Não","Não Compareceu",IF(J163="Sim","Compareceu",IF(H163="Não","Perdido",IF(H163="Sim","Consulta Marcada",IF(A163="","","Novo Paciente")))))))))))</f>
        <v/>
      </c>
      <c r="S163" s="4"/>
      <c r="T163" s="10" t="str">
        <f aca="false">IF(A163="","",SUMPRODUCT(($R$2:R163=R163)*($A$2:A163&lt;&gt;"")))</f>
        <v/>
      </c>
      <c r="U163" s="10" t="str">
        <f aca="false">IF(A163="","",R163&amp;"|"&amp;T163)</f>
        <v/>
      </c>
      <c r="V163" s="10" t="str">
        <f aca="false">IF(G163="","",TEXT(G163,"mm/yyyy"))</f>
        <v/>
      </c>
      <c r="W163" s="10" t="str">
        <f aca="false">IF(P163="","",TEXT(P163,"mm/yyyy"))</f>
        <v/>
      </c>
      <c r="X163" s="10" t="str">
        <f aca="false">IF(A163="","",IF(OR(R163="Fechado (Total)",R163="Fechado (Parcial)"),"Fechado|"&amp;SUMPRODUCT((($R$2:R163="Fechado (Total)")+($R$2:R163="Fechado (Parcial)"))*($A$2:A163&lt;&gt;"")),""))</f>
        <v/>
      </c>
      <c r="Y163" s="10" t="str">
        <f aca="false">IF(A163="","",IF(D163="Indicação",SUMPRODUCT(($D$2:D163="Indicação")*($A$2:A163&lt;&gt;"")),""))</f>
        <v/>
      </c>
      <c r="Z163" s="10" t="str">
        <f aca="false">IF(Y163="","","Indicacao|"&amp;Y163)</f>
        <v/>
      </c>
      <c r="AA163" s="10" t="str">
        <f aca="false">IF(I163="","",TEXT(I163,"mm/yyyy"))</f>
        <v/>
      </c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8"/>
      <c r="H164" s="6"/>
      <c r="I164" s="8"/>
      <c r="J164" s="6"/>
      <c r="K164" s="6"/>
      <c r="L164" s="6"/>
      <c r="M164" s="7"/>
      <c r="N164" s="6"/>
      <c r="O164" s="7"/>
      <c r="P164" s="8"/>
      <c r="Q164" s="4"/>
      <c r="R164" s="9" t="str">
        <f aca="false">IF(N164="Sim","Fechado (Total)",IF(N164="Parcial","Fechado (Parcial)",IF(N164="Não","Perdido",IF(N164="Pendente","Pendente",IF(N164="Não precisa no momento","Não Precisa no Momento",IF(L164="Sim","Plano de Tratamento",IF(J164="Não","Não Compareceu",IF(J164="Sim","Compareceu",IF(H164="Não","Perdido",IF(H164="Sim","Consulta Marcada",IF(A164="","","Novo Paciente")))))))))))</f>
        <v/>
      </c>
      <c r="S164" s="4"/>
      <c r="T164" s="10" t="str">
        <f aca="false">IF(A164="","",SUMPRODUCT(($R$2:R164=R164)*($A$2:A164&lt;&gt;"")))</f>
        <v/>
      </c>
      <c r="U164" s="10" t="str">
        <f aca="false">IF(A164="","",R164&amp;"|"&amp;T164)</f>
        <v/>
      </c>
      <c r="V164" s="10" t="str">
        <f aca="false">IF(G164="","",TEXT(G164,"mm/yyyy"))</f>
        <v/>
      </c>
      <c r="W164" s="10" t="str">
        <f aca="false">IF(P164="","",TEXT(P164,"mm/yyyy"))</f>
        <v/>
      </c>
      <c r="X164" s="10" t="str">
        <f aca="false">IF(A164="","",IF(OR(R164="Fechado (Total)",R164="Fechado (Parcial)"),"Fechado|"&amp;SUMPRODUCT((($R$2:R164="Fechado (Total)")+($R$2:R164="Fechado (Parcial)"))*($A$2:A164&lt;&gt;"")),""))</f>
        <v/>
      </c>
      <c r="Y164" s="10" t="str">
        <f aca="false">IF(A164="","",IF(D164="Indicação",SUMPRODUCT(($D$2:D164="Indicação")*($A$2:A164&lt;&gt;"")),""))</f>
        <v/>
      </c>
      <c r="Z164" s="10" t="str">
        <f aca="false">IF(Y164="","","Indicacao|"&amp;Y164)</f>
        <v/>
      </c>
      <c r="AA164" s="10" t="str">
        <f aca="false">IF(I164="","",TEXT(I164,"mm/yyyy"))</f>
        <v/>
      </c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8"/>
      <c r="H165" s="6"/>
      <c r="I165" s="8"/>
      <c r="J165" s="6"/>
      <c r="K165" s="6"/>
      <c r="L165" s="6"/>
      <c r="M165" s="7"/>
      <c r="N165" s="6"/>
      <c r="O165" s="7"/>
      <c r="P165" s="8"/>
      <c r="Q165" s="4"/>
      <c r="R165" s="9" t="str">
        <f aca="false">IF(N165="Sim","Fechado (Total)",IF(N165="Parcial","Fechado (Parcial)",IF(N165="Não","Perdido",IF(N165="Pendente","Pendente",IF(N165="Não precisa no momento","Não Precisa no Momento",IF(L165="Sim","Plano de Tratamento",IF(J165="Não","Não Compareceu",IF(J165="Sim","Compareceu",IF(H165="Não","Perdido",IF(H165="Sim","Consulta Marcada",IF(A165="","","Novo Paciente")))))))))))</f>
        <v/>
      </c>
      <c r="S165" s="4"/>
      <c r="T165" s="10" t="str">
        <f aca="false">IF(A165="","",SUMPRODUCT(($R$2:R165=R165)*($A$2:A165&lt;&gt;"")))</f>
        <v/>
      </c>
      <c r="U165" s="10" t="str">
        <f aca="false">IF(A165="","",R165&amp;"|"&amp;T165)</f>
        <v/>
      </c>
      <c r="V165" s="10" t="str">
        <f aca="false">IF(G165="","",TEXT(G165,"mm/yyyy"))</f>
        <v/>
      </c>
      <c r="W165" s="10" t="str">
        <f aca="false">IF(P165="","",TEXT(P165,"mm/yyyy"))</f>
        <v/>
      </c>
      <c r="X165" s="10" t="str">
        <f aca="false">IF(A165="","",IF(OR(R165="Fechado (Total)",R165="Fechado (Parcial)"),"Fechado|"&amp;SUMPRODUCT((($R$2:R165="Fechado (Total)")+($R$2:R165="Fechado (Parcial)"))*($A$2:A165&lt;&gt;"")),""))</f>
        <v/>
      </c>
      <c r="Y165" s="10" t="str">
        <f aca="false">IF(A165="","",IF(D165="Indicação",SUMPRODUCT(($D$2:D165="Indicação")*($A$2:A165&lt;&gt;"")),""))</f>
        <v/>
      </c>
      <c r="Z165" s="10" t="str">
        <f aca="false">IF(Y165="","","Indicacao|"&amp;Y165)</f>
        <v/>
      </c>
      <c r="AA165" s="10" t="str">
        <f aca="false">IF(I165="","",TEXT(I165,"mm/yyyy"))</f>
        <v/>
      </c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8"/>
      <c r="H166" s="6"/>
      <c r="I166" s="8"/>
      <c r="J166" s="6"/>
      <c r="K166" s="6"/>
      <c r="L166" s="6"/>
      <c r="M166" s="7"/>
      <c r="N166" s="6"/>
      <c r="O166" s="7"/>
      <c r="P166" s="8"/>
      <c r="Q166" s="4"/>
      <c r="R166" s="9" t="str">
        <f aca="false">IF(N166="Sim","Fechado (Total)",IF(N166="Parcial","Fechado (Parcial)",IF(N166="Não","Perdido",IF(N166="Pendente","Pendente",IF(N166="Não precisa no momento","Não Precisa no Momento",IF(L166="Sim","Plano de Tratamento",IF(J166="Não","Não Compareceu",IF(J166="Sim","Compareceu",IF(H166="Não","Perdido",IF(H166="Sim","Consulta Marcada",IF(A166="","","Novo Paciente")))))))))))</f>
        <v/>
      </c>
      <c r="S166" s="4"/>
      <c r="T166" s="10" t="str">
        <f aca="false">IF(A166="","",SUMPRODUCT(($R$2:R166=R166)*($A$2:A166&lt;&gt;"")))</f>
        <v/>
      </c>
      <c r="U166" s="10" t="str">
        <f aca="false">IF(A166="","",R166&amp;"|"&amp;T166)</f>
        <v/>
      </c>
      <c r="V166" s="10" t="str">
        <f aca="false">IF(G166="","",TEXT(G166,"mm/yyyy"))</f>
        <v/>
      </c>
      <c r="W166" s="10" t="str">
        <f aca="false">IF(P166="","",TEXT(P166,"mm/yyyy"))</f>
        <v/>
      </c>
      <c r="X166" s="10" t="str">
        <f aca="false">IF(A166="","",IF(OR(R166="Fechado (Total)",R166="Fechado (Parcial)"),"Fechado|"&amp;SUMPRODUCT((($R$2:R166="Fechado (Total)")+($R$2:R166="Fechado (Parcial)"))*($A$2:A166&lt;&gt;"")),""))</f>
        <v/>
      </c>
      <c r="Y166" s="10" t="str">
        <f aca="false">IF(A166="","",IF(D166="Indicação",SUMPRODUCT(($D$2:D166="Indicação")*($A$2:A166&lt;&gt;"")),""))</f>
        <v/>
      </c>
      <c r="Z166" s="10" t="str">
        <f aca="false">IF(Y166="","","Indicacao|"&amp;Y166)</f>
        <v/>
      </c>
      <c r="AA166" s="10" t="str">
        <f aca="false">IF(I166="","",TEXT(I166,"mm/yyyy"))</f>
        <v/>
      </c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8"/>
      <c r="H167" s="6"/>
      <c r="I167" s="8"/>
      <c r="J167" s="6"/>
      <c r="K167" s="6"/>
      <c r="L167" s="6"/>
      <c r="M167" s="7"/>
      <c r="N167" s="6"/>
      <c r="O167" s="7"/>
      <c r="P167" s="8"/>
      <c r="Q167" s="4"/>
      <c r="R167" s="9" t="str">
        <f aca="false">IF(N167="Sim","Fechado (Total)",IF(N167="Parcial","Fechado (Parcial)",IF(N167="Não","Perdido",IF(N167="Pendente","Pendente",IF(N167="Não precisa no momento","Não Precisa no Momento",IF(L167="Sim","Plano de Tratamento",IF(J167="Não","Não Compareceu",IF(J167="Sim","Compareceu",IF(H167="Não","Perdido",IF(H167="Sim","Consulta Marcada",IF(A167="","","Novo Paciente")))))))))))</f>
        <v/>
      </c>
      <c r="S167" s="4"/>
      <c r="T167" s="10" t="str">
        <f aca="false">IF(A167="","",SUMPRODUCT(($R$2:R167=R167)*($A$2:A167&lt;&gt;"")))</f>
        <v/>
      </c>
      <c r="U167" s="10" t="str">
        <f aca="false">IF(A167="","",R167&amp;"|"&amp;T167)</f>
        <v/>
      </c>
      <c r="V167" s="10" t="str">
        <f aca="false">IF(G167="","",TEXT(G167,"mm/yyyy"))</f>
        <v/>
      </c>
      <c r="W167" s="10" t="str">
        <f aca="false">IF(P167="","",TEXT(P167,"mm/yyyy"))</f>
        <v/>
      </c>
      <c r="X167" s="10" t="str">
        <f aca="false">IF(A167="","",IF(OR(R167="Fechado (Total)",R167="Fechado (Parcial)"),"Fechado|"&amp;SUMPRODUCT((($R$2:R167="Fechado (Total)")+($R$2:R167="Fechado (Parcial)"))*($A$2:A167&lt;&gt;"")),""))</f>
        <v/>
      </c>
      <c r="Y167" s="10" t="str">
        <f aca="false">IF(A167="","",IF(D167="Indicação",SUMPRODUCT(($D$2:D167="Indicação")*($A$2:A167&lt;&gt;"")),""))</f>
        <v/>
      </c>
      <c r="Z167" s="10" t="str">
        <f aca="false">IF(Y167="","","Indicacao|"&amp;Y167)</f>
        <v/>
      </c>
      <c r="AA167" s="10" t="str">
        <f aca="false">IF(I167="","",TEXT(I167,"mm/yyyy"))</f>
        <v/>
      </c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8"/>
      <c r="H168" s="6"/>
      <c r="I168" s="8"/>
      <c r="J168" s="6"/>
      <c r="K168" s="6"/>
      <c r="L168" s="6"/>
      <c r="M168" s="7"/>
      <c r="N168" s="6"/>
      <c r="O168" s="7"/>
      <c r="P168" s="8"/>
      <c r="Q168" s="4"/>
      <c r="R168" s="9" t="str">
        <f aca="false">IF(N168="Sim","Fechado (Total)",IF(N168="Parcial","Fechado (Parcial)",IF(N168="Não","Perdido",IF(N168="Pendente","Pendente",IF(N168="Não precisa no momento","Não Precisa no Momento",IF(L168="Sim","Plano de Tratamento",IF(J168="Não","Não Compareceu",IF(J168="Sim","Compareceu",IF(H168="Não","Perdido",IF(H168="Sim","Consulta Marcada",IF(A168="","","Novo Paciente")))))))))))</f>
        <v/>
      </c>
      <c r="S168" s="4"/>
      <c r="T168" s="10" t="str">
        <f aca="false">IF(A168="","",SUMPRODUCT(($R$2:R168=R168)*($A$2:A168&lt;&gt;"")))</f>
        <v/>
      </c>
      <c r="U168" s="10" t="str">
        <f aca="false">IF(A168="","",R168&amp;"|"&amp;T168)</f>
        <v/>
      </c>
      <c r="V168" s="10" t="str">
        <f aca="false">IF(G168="","",TEXT(G168,"mm/yyyy"))</f>
        <v/>
      </c>
      <c r="W168" s="10" t="str">
        <f aca="false">IF(P168="","",TEXT(P168,"mm/yyyy"))</f>
        <v/>
      </c>
      <c r="X168" s="10" t="str">
        <f aca="false">IF(A168="","",IF(OR(R168="Fechado (Total)",R168="Fechado (Parcial)"),"Fechado|"&amp;SUMPRODUCT((($R$2:R168="Fechado (Total)")+($R$2:R168="Fechado (Parcial)"))*($A$2:A168&lt;&gt;"")),""))</f>
        <v/>
      </c>
      <c r="Y168" s="10" t="str">
        <f aca="false">IF(A168="","",IF(D168="Indicação",SUMPRODUCT(($D$2:D168="Indicação")*($A$2:A168&lt;&gt;"")),""))</f>
        <v/>
      </c>
      <c r="Z168" s="10" t="str">
        <f aca="false">IF(Y168="","","Indicacao|"&amp;Y168)</f>
        <v/>
      </c>
      <c r="AA168" s="10" t="str">
        <f aca="false">IF(I168="","",TEXT(I168,"mm/yyyy"))</f>
        <v/>
      </c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8"/>
      <c r="H169" s="6"/>
      <c r="I169" s="8"/>
      <c r="J169" s="6"/>
      <c r="K169" s="6"/>
      <c r="L169" s="6"/>
      <c r="M169" s="7"/>
      <c r="N169" s="6"/>
      <c r="O169" s="7"/>
      <c r="P169" s="8"/>
      <c r="Q169" s="4"/>
      <c r="R169" s="9" t="str">
        <f aca="false">IF(N169="Sim","Fechado (Total)",IF(N169="Parcial","Fechado (Parcial)",IF(N169="Não","Perdido",IF(N169="Pendente","Pendente",IF(N169="Não precisa no momento","Não Precisa no Momento",IF(L169="Sim","Plano de Tratamento",IF(J169="Não","Não Compareceu",IF(J169="Sim","Compareceu",IF(H169="Não","Perdido",IF(H169="Sim","Consulta Marcada",IF(A169="","","Novo Paciente")))))))))))</f>
        <v/>
      </c>
      <c r="S169" s="4"/>
      <c r="T169" s="10" t="str">
        <f aca="false">IF(A169="","",SUMPRODUCT(($R$2:R169=R169)*($A$2:A169&lt;&gt;"")))</f>
        <v/>
      </c>
      <c r="U169" s="10" t="str">
        <f aca="false">IF(A169="","",R169&amp;"|"&amp;T169)</f>
        <v/>
      </c>
      <c r="V169" s="10" t="str">
        <f aca="false">IF(G169="","",TEXT(G169,"mm/yyyy"))</f>
        <v/>
      </c>
      <c r="W169" s="10" t="str">
        <f aca="false">IF(P169="","",TEXT(P169,"mm/yyyy"))</f>
        <v/>
      </c>
      <c r="X169" s="10" t="str">
        <f aca="false">IF(A169="","",IF(OR(R169="Fechado (Total)",R169="Fechado (Parcial)"),"Fechado|"&amp;SUMPRODUCT((($R$2:R169="Fechado (Total)")+($R$2:R169="Fechado (Parcial)"))*($A$2:A169&lt;&gt;"")),""))</f>
        <v/>
      </c>
      <c r="Y169" s="10" t="str">
        <f aca="false">IF(A169="","",IF(D169="Indicação",SUMPRODUCT(($D$2:D169="Indicação")*($A$2:A169&lt;&gt;"")),""))</f>
        <v/>
      </c>
      <c r="Z169" s="10" t="str">
        <f aca="false">IF(Y169="","","Indicacao|"&amp;Y169)</f>
        <v/>
      </c>
      <c r="AA169" s="10" t="str">
        <f aca="false">IF(I169="","",TEXT(I169,"mm/yyyy"))</f>
        <v/>
      </c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8"/>
      <c r="H170" s="6"/>
      <c r="I170" s="8"/>
      <c r="J170" s="6"/>
      <c r="K170" s="6"/>
      <c r="L170" s="6"/>
      <c r="M170" s="7"/>
      <c r="N170" s="6"/>
      <c r="O170" s="7"/>
      <c r="P170" s="8"/>
      <c r="Q170" s="4"/>
      <c r="R170" s="9" t="str">
        <f aca="false">IF(N170="Sim","Fechado (Total)",IF(N170="Parcial","Fechado (Parcial)",IF(N170="Não","Perdido",IF(N170="Pendente","Pendente",IF(N170="Não precisa no momento","Não Precisa no Momento",IF(L170="Sim","Plano de Tratamento",IF(J170="Não","Não Compareceu",IF(J170="Sim","Compareceu",IF(H170="Não","Perdido",IF(H170="Sim","Consulta Marcada",IF(A170="","","Novo Paciente")))))))))))</f>
        <v/>
      </c>
      <c r="S170" s="4"/>
      <c r="T170" s="10" t="str">
        <f aca="false">IF(A170="","",SUMPRODUCT(($R$2:R170=R170)*($A$2:A170&lt;&gt;"")))</f>
        <v/>
      </c>
      <c r="U170" s="10" t="str">
        <f aca="false">IF(A170="","",R170&amp;"|"&amp;T170)</f>
        <v/>
      </c>
      <c r="V170" s="10" t="str">
        <f aca="false">IF(G170="","",TEXT(G170,"mm/yyyy"))</f>
        <v/>
      </c>
      <c r="W170" s="10" t="str">
        <f aca="false">IF(P170="","",TEXT(P170,"mm/yyyy"))</f>
        <v/>
      </c>
      <c r="X170" s="10" t="str">
        <f aca="false">IF(A170="","",IF(OR(R170="Fechado (Total)",R170="Fechado (Parcial)"),"Fechado|"&amp;SUMPRODUCT((($R$2:R170="Fechado (Total)")+($R$2:R170="Fechado (Parcial)"))*($A$2:A170&lt;&gt;"")),""))</f>
        <v/>
      </c>
      <c r="Y170" s="10" t="str">
        <f aca="false">IF(A170="","",IF(D170="Indicação",SUMPRODUCT(($D$2:D170="Indicação")*($A$2:A170&lt;&gt;"")),""))</f>
        <v/>
      </c>
      <c r="Z170" s="10" t="str">
        <f aca="false">IF(Y170="","","Indicacao|"&amp;Y170)</f>
        <v/>
      </c>
      <c r="AA170" s="10" t="str">
        <f aca="false">IF(I170="","",TEXT(I170,"mm/yyyy"))</f>
        <v/>
      </c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8"/>
      <c r="H171" s="6"/>
      <c r="I171" s="8"/>
      <c r="J171" s="6"/>
      <c r="K171" s="6"/>
      <c r="L171" s="6"/>
      <c r="M171" s="7"/>
      <c r="N171" s="6"/>
      <c r="O171" s="7"/>
      <c r="P171" s="8"/>
      <c r="Q171" s="4"/>
      <c r="R171" s="9" t="str">
        <f aca="false">IF(N171="Sim","Fechado (Total)",IF(N171="Parcial","Fechado (Parcial)",IF(N171="Não","Perdido",IF(N171="Pendente","Pendente",IF(N171="Não precisa no momento","Não Precisa no Momento",IF(L171="Sim","Plano de Tratamento",IF(J171="Não","Não Compareceu",IF(J171="Sim","Compareceu",IF(H171="Não","Perdido",IF(H171="Sim","Consulta Marcada",IF(A171="","","Novo Paciente")))))))))))</f>
        <v/>
      </c>
      <c r="S171" s="4"/>
      <c r="T171" s="10" t="str">
        <f aca="false">IF(A171="","",SUMPRODUCT(($R$2:R171=R171)*($A$2:A171&lt;&gt;"")))</f>
        <v/>
      </c>
      <c r="U171" s="10" t="str">
        <f aca="false">IF(A171="","",R171&amp;"|"&amp;T171)</f>
        <v/>
      </c>
      <c r="V171" s="10" t="str">
        <f aca="false">IF(G171="","",TEXT(G171,"mm/yyyy"))</f>
        <v/>
      </c>
      <c r="W171" s="10" t="str">
        <f aca="false">IF(P171="","",TEXT(P171,"mm/yyyy"))</f>
        <v/>
      </c>
      <c r="X171" s="10" t="str">
        <f aca="false">IF(A171="","",IF(OR(R171="Fechado (Total)",R171="Fechado (Parcial)"),"Fechado|"&amp;SUMPRODUCT((($R$2:R171="Fechado (Total)")+($R$2:R171="Fechado (Parcial)"))*($A$2:A171&lt;&gt;"")),""))</f>
        <v/>
      </c>
      <c r="Y171" s="10" t="str">
        <f aca="false">IF(A171="","",IF(D171="Indicação",SUMPRODUCT(($D$2:D171="Indicação")*($A$2:A171&lt;&gt;"")),""))</f>
        <v/>
      </c>
      <c r="Z171" s="10" t="str">
        <f aca="false">IF(Y171="","","Indicacao|"&amp;Y171)</f>
        <v/>
      </c>
      <c r="AA171" s="10" t="str">
        <f aca="false">IF(I171="","",TEXT(I171,"mm/yyyy"))</f>
        <v/>
      </c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8"/>
      <c r="H172" s="6"/>
      <c r="I172" s="8"/>
      <c r="J172" s="6"/>
      <c r="K172" s="6"/>
      <c r="L172" s="6"/>
      <c r="M172" s="7"/>
      <c r="N172" s="6"/>
      <c r="O172" s="7"/>
      <c r="P172" s="8"/>
      <c r="Q172" s="4"/>
      <c r="R172" s="9" t="str">
        <f aca="false">IF(N172="Sim","Fechado (Total)",IF(N172="Parcial","Fechado (Parcial)",IF(N172="Não","Perdido",IF(N172="Pendente","Pendente",IF(N172="Não precisa no momento","Não Precisa no Momento",IF(L172="Sim","Plano de Tratamento",IF(J172="Não","Não Compareceu",IF(J172="Sim","Compareceu",IF(H172="Não","Perdido",IF(H172="Sim","Consulta Marcada",IF(A172="","","Novo Paciente")))))))))))</f>
        <v/>
      </c>
      <c r="S172" s="4"/>
      <c r="T172" s="10" t="str">
        <f aca="false">IF(A172="","",SUMPRODUCT(($R$2:R172=R172)*($A$2:A172&lt;&gt;"")))</f>
        <v/>
      </c>
      <c r="U172" s="10" t="str">
        <f aca="false">IF(A172="","",R172&amp;"|"&amp;T172)</f>
        <v/>
      </c>
      <c r="V172" s="10" t="str">
        <f aca="false">IF(G172="","",TEXT(G172,"mm/yyyy"))</f>
        <v/>
      </c>
      <c r="W172" s="10" t="str">
        <f aca="false">IF(P172="","",TEXT(P172,"mm/yyyy"))</f>
        <v/>
      </c>
      <c r="X172" s="10" t="str">
        <f aca="false">IF(A172="","",IF(OR(R172="Fechado (Total)",R172="Fechado (Parcial)"),"Fechado|"&amp;SUMPRODUCT((($R$2:R172="Fechado (Total)")+($R$2:R172="Fechado (Parcial)"))*($A$2:A172&lt;&gt;"")),""))</f>
        <v/>
      </c>
      <c r="Y172" s="10" t="str">
        <f aca="false">IF(A172="","",IF(D172="Indicação",SUMPRODUCT(($D$2:D172="Indicação")*($A$2:A172&lt;&gt;"")),""))</f>
        <v/>
      </c>
      <c r="Z172" s="10" t="str">
        <f aca="false">IF(Y172="","","Indicacao|"&amp;Y172)</f>
        <v/>
      </c>
      <c r="AA172" s="10" t="str">
        <f aca="false">IF(I172="","",TEXT(I172,"mm/yyyy"))</f>
        <v/>
      </c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8"/>
      <c r="H173" s="6"/>
      <c r="I173" s="8"/>
      <c r="J173" s="6"/>
      <c r="K173" s="6"/>
      <c r="L173" s="6"/>
      <c r="M173" s="7"/>
      <c r="N173" s="6"/>
      <c r="O173" s="7"/>
      <c r="P173" s="8"/>
      <c r="Q173" s="4"/>
      <c r="R173" s="9" t="str">
        <f aca="false">IF(N173="Sim","Fechado (Total)",IF(N173="Parcial","Fechado (Parcial)",IF(N173="Não","Perdido",IF(N173="Pendente","Pendente",IF(N173="Não precisa no momento","Não Precisa no Momento",IF(L173="Sim","Plano de Tratamento",IF(J173="Não","Não Compareceu",IF(J173="Sim","Compareceu",IF(H173="Não","Perdido",IF(H173="Sim","Consulta Marcada",IF(A173="","","Novo Paciente")))))))))))</f>
        <v/>
      </c>
      <c r="S173" s="4"/>
      <c r="T173" s="10" t="str">
        <f aca="false">IF(A173="","",SUMPRODUCT(($R$2:R173=R173)*($A$2:A173&lt;&gt;"")))</f>
        <v/>
      </c>
      <c r="U173" s="10" t="str">
        <f aca="false">IF(A173="","",R173&amp;"|"&amp;T173)</f>
        <v/>
      </c>
      <c r="V173" s="10" t="str">
        <f aca="false">IF(G173="","",TEXT(G173,"mm/yyyy"))</f>
        <v/>
      </c>
      <c r="W173" s="10" t="str">
        <f aca="false">IF(P173="","",TEXT(P173,"mm/yyyy"))</f>
        <v/>
      </c>
      <c r="X173" s="10" t="str">
        <f aca="false">IF(A173="","",IF(OR(R173="Fechado (Total)",R173="Fechado (Parcial)"),"Fechado|"&amp;SUMPRODUCT((($R$2:R173="Fechado (Total)")+($R$2:R173="Fechado (Parcial)"))*($A$2:A173&lt;&gt;"")),""))</f>
        <v/>
      </c>
      <c r="Y173" s="10" t="str">
        <f aca="false">IF(A173="","",IF(D173="Indicação",SUMPRODUCT(($D$2:D173="Indicação")*($A$2:A173&lt;&gt;"")),""))</f>
        <v/>
      </c>
      <c r="Z173" s="10" t="str">
        <f aca="false">IF(Y173="","","Indicacao|"&amp;Y173)</f>
        <v/>
      </c>
      <c r="AA173" s="10" t="str">
        <f aca="false">IF(I173="","",TEXT(I173,"mm/yyyy"))</f>
        <v/>
      </c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8"/>
      <c r="H174" s="6"/>
      <c r="I174" s="8"/>
      <c r="J174" s="6"/>
      <c r="K174" s="6"/>
      <c r="L174" s="6"/>
      <c r="M174" s="7"/>
      <c r="N174" s="6"/>
      <c r="O174" s="7"/>
      <c r="P174" s="8"/>
      <c r="Q174" s="4"/>
      <c r="R174" s="9" t="str">
        <f aca="false">IF(N174="Sim","Fechado (Total)",IF(N174="Parcial","Fechado (Parcial)",IF(N174="Não","Perdido",IF(N174="Pendente","Pendente",IF(N174="Não precisa no momento","Não Precisa no Momento",IF(L174="Sim","Plano de Tratamento",IF(J174="Não","Não Compareceu",IF(J174="Sim","Compareceu",IF(H174="Não","Perdido",IF(H174="Sim","Consulta Marcada",IF(A174="","","Novo Paciente")))))))))))</f>
        <v/>
      </c>
      <c r="S174" s="4"/>
      <c r="T174" s="10" t="str">
        <f aca="false">IF(A174="","",SUMPRODUCT(($R$2:R174=R174)*($A$2:A174&lt;&gt;"")))</f>
        <v/>
      </c>
      <c r="U174" s="10" t="str">
        <f aca="false">IF(A174="","",R174&amp;"|"&amp;T174)</f>
        <v/>
      </c>
      <c r="V174" s="10" t="str">
        <f aca="false">IF(G174="","",TEXT(G174,"mm/yyyy"))</f>
        <v/>
      </c>
      <c r="W174" s="10" t="str">
        <f aca="false">IF(P174="","",TEXT(P174,"mm/yyyy"))</f>
        <v/>
      </c>
      <c r="X174" s="10" t="str">
        <f aca="false">IF(A174="","",IF(OR(R174="Fechado (Total)",R174="Fechado (Parcial)"),"Fechado|"&amp;SUMPRODUCT((($R$2:R174="Fechado (Total)")+($R$2:R174="Fechado (Parcial)"))*($A$2:A174&lt;&gt;"")),""))</f>
        <v/>
      </c>
      <c r="Y174" s="10" t="str">
        <f aca="false">IF(A174="","",IF(D174="Indicação",SUMPRODUCT(($D$2:D174="Indicação")*($A$2:A174&lt;&gt;"")),""))</f>
        <v/>
      </c>
      <c r="Z174" s="10" t="str">
        <f aca="false">IF(Y174="","","Indicacao|"&amp;Y174)</f>
        <v/>
      </c>
      <c r="AA174" s="10" t="str">
        <f aca="false">IF(I174="","",TEXT(I174,"mm/yyyy"))</f>
        <v/>
      </c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8"/>
      <c r="H175" s="6"/>
      <c r="I175" s="8"/>
      <c r="J175" s="6"/>
      <c r="K175" s="6"/>
      <c r="L175" s="6"/>
      <c r="M175" s="7"/>
      <c r="N175" s="6"/>
      <c r="O175" s="7"/>
      <c r="P175" s="8"/>
      <c r="Q175" s="4"/>
      <c r="R175" s="9" t="str">
        <f aca="false">IF(N175="Sim","Fechado (Total)",IF(N175="Parcial","Fechado (Parcial)",IF(N175="Não","Perdido",IF(N175="Pendente","Pendente",IF(N175="Não precisa no momento","Não Precisa no Momento",IF(L175="Sim","Plano de Tratamento",IF(J175="Não","Não Compareceu",IF(J175="Sim","Compareceu",IF(H175="Não","Perdido",IF(H175="Sim","Consulta Marcada",IF(A175="","","Novo Paciente")))))))))))</f>
        <v/>
      </c>
      <c r="S175" s="4"/>
      <c r="T175" s="10" t="str">
        <f aca="false">IF(A175="","",SUMPRODUCT(($R$2:R175=R175)*($A$2:A175&lt;&gt;"")))</f>
        <v/>
      </c>
      <c r="U175" s="10" t="str">
        <f aca="false">IF(A175="","",R175&amp;"|"&amp;T175)</f>
        <v/>
      </c>
      <c r="V175" s="10" t="str">
        <f aca="false">IF(G175="","",TEXT(G175,"mm/yyyy"))</f>
        <v/>
      </c>
      <c r="W175" s="10" t="str">
        <f aca="false">IF(P175="","",TEXT(P175,"mm/yyyy"))</f>
        <v/>
      </c>
      <c r="X175" s="10" t="str">
        <f aca="false">IF(A175="","",IF(OR(R175="Fechado (Total)",R175="Fechado (Parcial)"),"Fechado|"&amp;SUMPRODUCT((($R$2:R175="Fechado (Total)")+($R$2:R175="Fechado (Parcial)"))*($A$2:A175&lt;&gt;"")),""))</f>
        <v/>
      </c>
      <c r="Y175" s="10" t="str">
        <f aca="false">IF(A175="","",IF(D175="Indicação",SUMPRODUCT(($D$2:D175="Indicação")*($A$2:A175&lt;&gt;"")),""))</f>
        <v/>
      </c>
      <c r="Z175" s="10" t="str">
        <f aca="false">IF(Y175="","","Indicacao|"&amp;Y175)</f>
        <v/>
      </c>
      <c r="AA175" s="10" t="str">
        <f aca="false">IF(I175="","",TEXT(I175,"mm/yyyy"))</f>
        <v/>
      </c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8"/>
      <c r="H176" s="6"/>
      <c r="I176" s="8"/>
      <c r="J176" s="6"/>
      <c r="K176" s="6"/>
      <c r="L176" s="6"/>
      <c r="M176" s="7"/>
      <c r="N176" s="6"/>
      <c r="O176" s="7"/>
      <c r="P176" s="8"/>
      <c r="Q176" s="4"/>
      <c r="R176" s="9" t="str">
        <f aca="false">IF(N176="Sim","Fechado (Total)",IF(N176="Parcial","Fechado (Parcial)",IF(N176="Não","Perdido",IF(N176="Pendente","Pendente",IF(N176="Não precisa no momento","Não Precisa no Momento",IF(L176="Sim","Plano de Tratamento",IF(J176="Não","Não Compareceu",IF(J176="Sim","Compareceu",IF(H176="Não","Perdido",IF(H176="Sim","Consulta Marcada",IF(A176="","","Novo Paciente")))))))))))</f>
        <v/>
      </c>
      <c r="S176" s="4"/>
      <c r="T176" s="10" t="str">
        <f aca="false">IF(A176="","",SUMPRODUCT(($R$2:R176=R176)*($A$2:A176&lt;&gt;"")))</f>
        <v/>
      </c>
      <c r="U176" s="10" t="str">
        <f aca="false">IF(A176="","",R176&amp;"|"&amp;T176)</f>
        <v/>
      </c>
      <c r="V176" s="10" t="str">
        <f aca="false">IF(G176="","",TEXT(G176,"mm/yyyy"))</f>
        <v/>
      </c>
      <c r="W176" s="10" t="str">
        <f aca="false">IF(P176="","",TEXT(P176,"mm/yyyy"))</f>
        <v/>
      </c>
      <c r="X176" s="10" t="str">
        <f aca="false">IF(A176="","",IF(OR(R176="Fechado (Total)",R176="Fechado (Parcial)"),"Fechado|"&amp;SUMPRODUCT((($R$2:R176="Fechado (Total)")+($R$2:R176="Fechado (Parcial)"))*($A$2:A176&lt;&gt;"")),""))</f>
        <v/>
      </c>
      <c r="Y176" s="10" t="str">
        <f aca="false">IF(A176="","",IF(D176="Indicação",SUMPRODUCT(($D$2:D176="Indicação")*($A$2:A176&lt;&gt;"")),""))</f>
        <v/>
      </c>
      <c r="Z176" s="10" t="str">
        <f aca="false">IF(Y176="","","Indicacao|"&amp;Y176)</f>
        <v/>
      </c>
      <c r="AA176" s="10" t="str">
        <f aca="false">IF(I176="","",TEXT(I176,"mm/yyyy"))</f>
        <v/>
      </c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8"/>
      <c r="H177" s="6"/>
      <c r="I177" s="8"/>
      <c r="J177" s="6"/>
      <c r="K177" s="6"/>
      <c r="L177" s="6"/>
      <c r="M177" s="7"/>
      <c r="N177" s="6"/>
      <c r="O177" s="7"/>
      <c r="P177" s="8"/>
      <c r="Q177" s="4"/>
      <c r="R177" s="9" t="str">
        <f aca="false">IF(N177="Sim","Fechado (Total)",IF(N177="Parcial","Fechado (Parcial)",IF(N177="Não","Perdido",IF(N177="Pendente","Pendente",IF(N177="Não precisa no momento","Não Precisa no Momento",IF(L177="Sim","Plano de Tratamento",IF(J177="Não","Não Compareceu",IF(J177="Sim","Compareceu",IF(H177="Não","Perdido",IF(H177="Sim","Consulta Marcada",IF(A177="","","Novo Paciente")))))))))))</f>
        <v/>
      </c>
      <c r="S177" s="4"/>
      <c r="T177" s="10" t="str">
        <f aca="false">IF(A177="","",SUMPRODUCT(($R$2:R177=R177)*($A$2:A177&lt;&gt;"")))</f>
        <v/>
      </c>
      <c r="U177" s="10" t="str">
        <f aca="false">IF(A177="","",R177&amp;"|"&amp;T177)</f>
        <v/>
      </c>
      <c r="V177" s="10" t="str">
        <f aca="false">IF(G177="","",TEXT(G177,"mm/yyyy"))</f>
        <v/>
      </c>
      <c r="W177" s="10" t="str">
        <f aca="false">IF(P177="","",TEXT(P177,"mm/yyyy"))</f>
        <v/>
      </c>
      <c r="X177" s="10" t="str">
        <f aca="false">IF(A177="","",IF(OR(R177="Fechado (Total)",R177="Fechado (Parcial)"),"Fechado|"&amp;SUMPRODUCT((($R$2:R177="Fechado (Total)")+($R$2:R177="Fechado (Parcial)"))*($A$2:A177&lt;&gt;"")),""))</f>
        <v/>
      </c>
      <c r="Y177" s="10" t="str">
        <f aca="false">IF(A177="","",IF(D177="Indicação",SUMPRODUCT(($D$2:D177="Indicação")*($A$2:A177&lt;&gt;"")),""))</f>
        <v/>
      </c>
      <c r="Z177" s="10" t="str">
        <f aca="false">IF(Y177="","","Indicacao|"&amp;Y177)</f>
        <v/>
      </c>
      <c r="AA177" s="10" t="str">
        <f aca="false">IF(I177="","",TEXT(I177,"mm/yyyy"))</f>
        <v/>
      </c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8"/>
      <c r="H178" s="6"/>
      <c r="I178" s="8"/>
      <c r="J178" s="6"/>
      <c r="K178" s="6"/>
      <c r="L178" s="6"/>
      <c r="M178" s="7"/>
      <c r="N178" s="6"/>
      <c r="O178" s="7"/>
      <c r="P178" s="8"/>
      <c r="Q178" s="4"/>
      <c r="R178" s="9" t="str">
        <f aca="false">IF(N178="Sim","Fechado (Total)",IF(N178="Parcial","Fechado (Parcial)",IF(N178="Não","Perdido",IF(N178="Pendente","Pendente",IF(N178="Não precisa no momento","Não Precisa no Momento",IF(L178="Sim","Plano de Tratamento",IF(J178="Não","Não Compareceu",IF(J178="Sim","Compareceu",IF(H178="Não","Perdido",IF(H178="Sim","Consulta Marcada",IF(A178="","","Novo Paciente")))))))))))</f>
        <v/>
      </c>
      <c r="S178" s="4"/>
      <c r="T178" s="10" t="str">
        <f aca="false">IF(A178="","",SUMPRODUCT(($R$2:R178=R178)*($A$2:A178&lt;&gt;"")))</f>
        <v/>
      </c>
      <c r="U178" s="10" t="str">
        <f aca="false">IF(A178="","",R178&amp;"|"&amp;T178)</f>
        <v/>
      </c>
      <c r="V178" s="10" t="str">
        <f aca="false">IF(G178="","",TEXT(G178,"mm/yyyy"))</f>
        <v/>
      </c>
      <c r="W178" s="10" t="str">
        <f aca="false">IF(P178="","",TEXT(P178,"mm/yyyy"))</f>
        <v/>
      </c>
      <c r="X178" s="10" t="str">
        <f aca="false">IF(A178="","",IF(OR(R178="Fechado (Total)",R178="Fechado (Parcial)"),"Fechado|"&amp;SUMPRODUCT((($R$2:R178="Fechado (Total)")+($R$2:R178="Fechado (Parcial)"))*($A$2:A178&lt;&gt;"")),""))</f>
        <v/>
      </c>
      <c r="Y178" s="10" t="str">
        <f aca="false">IF(A178="","",IF(D178="Indicação",SUMPRODUCT(($D$2:D178="Indicação")*($A$2:A178&lt;&gt;"")),""))</f>
        <v/>
      </c>
      <c r="Z178" s="10" t="str">
        <f aca="false">IF(Y178="","","Indicacao|"&amp;Y178)</f>
        <v/>
      </c>
      <c r="AA178" s="10" t="str">
        <f aca="false">IF(I178="","",TEXT(I178,"mm/yyyy"))</f>
        <v/>
      </c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8"/>
      <c r="H179" s="6"/>
      <c r="I179" s="8"/>
      <c r="J179" s="6"/>
      <c r="K179" s="6"/>
      <c r="L179" s="6"/>
      <c r="M179" s="7"/>
      <c r="N179" s="6"/>
      <c r="O179" s="7"/>
      <c r="P179" s="8"/>
      <c r="Q179" s="4"/>
      <c r="R179" s="9" t="str">
        <f aca="false">IF(N179="Sim","Fechado (Total)",IF(N179="Parcial","Fechado (Parcial)",IF(N179="Não","Perdido",IF(N179="Pendente","Pendente",IF(N179="Não precisa no momento","Não Precisa no Momento",IF(L179="Sim","Plano de Tratamento",IF(J179="Não","Não Compareceu",IF(J179="Sim","Compareceu",IF(H179="Não","Perdido",IF(H179="Sim","Consulta Marcada",IF(A179="","","Novo Paciente")))))))))))</f>
        <v/>
      </c>
      <c r="S179" s="4"/>
      <c r="T179" s="10" t="str">
        <f aca="false">IF(A179="","",SUMPRODUCT(($R$2:R179=R179)*($A$2:A179&lt;&gt;"")))</f>
        <v/>
      </c>
      <c r="U179" s="10" t="str">
        <f aca="false">IF(A179="","",R179&amp;"|"&amp;T179)</f>
        <v/>
      </c>
      <c r="V179" s="10" t="str">
        <f aca="false">IF(G179="","",TEXT(G179,"mm/yyyy"))</f>
        <v/>
      </c>
      <c r="W179" s="10" t="str">
        <f aca="false">IF(P179="","",TEXT(P179,"mm/yyyy"))</f>
        <v/>
      </c>
      <c r="X179" s="10" t="str">
        <f aca="false">IF(A179="","",IF(OR(R179="Fechado (Total)",R179="Fechado (Parcial)"),"Fechado|"&amp;SUMPRODUCT((($R$2:R179="Fechado (Total)")+($R$2:R179="Fechado (Parcial)"))*($A$2:A179&lt;&gt;"")),""))</f>
        <v/>
      </c>
      <c r="Y179" s="10" t="str">
        <f aca="false">IF(A179="","",IF(D179="Indicação",SUMPRODUCT(($D$2:D179="Indicação")*($A$2:A179&lt;&gt;"")),""))</f>
        <v/>
      </c>
      <c r="Z179" s="10" t="str">
        <f aca="false">IF(Y179="","","Indicacao|"&amp;Y179)</f>
        <v/>
      </c>
      <c r="AA179" s="10" t="str">
        <f aca="false">IF(I179="","",TEXT(I179,"mm/yyyy"))</f>
        <v/>
      </c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8"/>
      <c r="H180" s="6"/>
      <c r="I180" s="8"/>
      <c r="J180" s="6"/>
      <c r="K180" s="6"/>
      <c r="L180" s="6"/>
      <c r="M180" s="7"/>
      <c r="N180" s="6"/>
      <c r="O180" s="7"/>
      <c r="P180" s="8"/>
      <c r="Q180" s="4"/>
      <c r="R180" s="9" t="str">
        <f aca="false">IF(N180="Sim","Fechado (Total)",IF(N180="Parcial","Fechado (Parcial)",IF(N180="Não","Perdido",IF(N180="Pendente","Pendente",IF(N180="Não precisa no momento","Não Precisa no Momento",IF(L180="Sim","Plano de Tratamento",IF(J180="Não","Não Compareceu",IF(J180="Sim","Compareceu",IF(H180="Não","Perdido",IF(H180="Sim","Consulta Marcada",IF(A180="","","Novo Paciente")))))))))))</f>
        <v/>
      </c>
      <c r="S180" s="4"/>
      <c r="T180" s="10" t="str">
        <f aca="false">IF(A180="","",SUMPRODUCT(($R$2:R180=R180)*($A$2:A180&lt;&gt;"")))</f>
        <v/>
      </c>
      <c r="U180" s="10" t="str">
        <f aca="false">IF(A180="","",R180&amp;"|"&amp;T180)</f>
        <v/>
      </c>
      <c r="V180" s="10" t="str">
        <f aca="false">IF(G180="","",TEXT(G180,"mm/yyyy"))</f>
        <v/>
      </c>
      <c r="W180" s="10" t="str">
        <f aca="false">IF(P180="","",TEXT(P180,"mm/yyyy"))</f>
        <v/>
      </c>
      <c r="X180" s="10" t="str">
        <f aca="false">IF(A180="","",IF(OR(R180="Fechado (Total)",R180="Fechado (Parcial)"),"Fechado|"&amp;SUMPRODUCT((($R$2:R180="Fechado (Total)")+($R$2:R180="Fechado (Parcial)"))*($A$2:A180&lt;&gt;"")),""))</f>
        <v/>
      </c>
      <c r="Y180" s="10" t="str">
        <f aca="false">IF(A180="","",IF(D180="Indicação",SUMPRODUCT(($D$2:D180="Indicação")*($A$2:A180&lt;&gt;"")),""))</f>
        <v/>
      </c>
      <c r="Z180" s="10" t="str">
        <f aca="false">IF(Y180="","","Indicacao|"&amp;Y180)</f>
        <v/>
      </c>
      <c r="AA180" s="10" t="str">
        <f aca="false">IF(I180="","",TEXT(I180,"mm/yyyy"))</f>
        <v/>
      </c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8"/>
      <c r="H181" s="6"/>
      <c r="I181" s="8"/>
      <c r="J181" s="6"/>
      <c r="K181" s="6"/>
      <c r="L181" s="6"/>
      <c r="M181" s="7"/>
      <c r="N181" s="6"/>
      <c r="O181" s="7"/>
      <c r="P181" s="8"/>
      <c r="Q181" s="4"/>
      <c r="R181" s="9" t="str">
        <f aca="false">IF(N181="Sim","Fechado (Total)",IF(N181="Parcial","Fechado (Parcial)",IF(N181="Não","Perdido",IF(N181="Pendente","Pendente",IF(N181="Não precisa no momento","Não Precisa no Momento",IF(L181="Sim","Plano de Tratamento",IF(J181="Não","Não Compareceu",IF(J181="Sim","Compareceu",IF(H181="Não","Perdido",IF(H181="Sim","Consulta Marcada",IF(A181="","","Novo Paciente")))))))))))</f>
        <v/>
      </c>
      <c r="S181" s="4"/>
      <c r="T181" s="10" t="str">
        <f aca="false">IF(A181="","",SUMPRODUCT(($R$2:R181=R181)*($A$2:A181&lt;&gt;"")))</f>
        <v/>
      </c>
      <c r="U181" s="10" t="str">
        <f aca="false">IF(A181="","",R181&amp;"|"&amp;T181)</f>
        <v/>
      </c>
      <c r="V181" s="10" t="str">
        <f aca="false">IF(G181="","",TEXT(G181,"mm/yyyy"))</f>
        <v/>
      </c>
      <c r="W181" s="10" t="str">
        <f aca="false">IF(P181="","",TEXT(P181,"mm/yyyy"))</f>
        <v/>
      </c>
      <c r="X181" s="10" t="str">
        <f aca="false">IF(A181="","",IF(OR(R181="Fechado (Total)",R181="Fechado (Parcial)"),"Fechado|"&amp;SUMPRODUCT((($R$2:R181="Fechado (Total)")+($R$2:R181="Fechado (Parcial)"))*($A$2:A181&lt;&gt;"")),""))</f>
        <v/>
      </c>
      <c r="Y181" s="10" t="str">
        <f aca="false">IF(A181="","",IF(D181="Indicação",SUMPRODUCT(($D$2:D181="Indicação")*($A$2:A181&lt;&gt;"")),""))</f>
        <v/>
      </c>
      <c r="Z181" s="10" t="str">
        <f aca="false">IF(Y181="","","Indicacao|"&amp;Y181)</f>
        <v/>
      </c>
      <c r="AA181" s="10" t="str">
        <f aca="false">IF(I181="","",TEXT(I181,"mm/yyyy"))</f>
        <v/>
      </c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8"/>
      <c r="H182" s="6"/>
      <c r="I182" s="8"/>
      <c r="J182" s="6"/>
      <c r="K182" s="6"/>
      <c r="L182" s="6"/>
      <c r="M182" s="7"/>
      <c r="N182" s="6"/>
      <c r="O182" s="7"/>
      <c r="P182" s="8"/>
      <c r="Q182" s="4"/>
      <c r="R182" s="9" t="str">
        <f aca="false">IF(N182="Sim","Fechado (Total)",IF(N182="Parcial","Fechado (Parcial)",IF(N182="Não","Perdido",IF(N182="Pendente","Pendente",IF(N182="Não precisa no momento","Não Precisa no Momento",IF(L182="Sim","Plano de Tratamento",IF(J182="Não","Não Compareceu",IF(J182="Sim","Compareceu",IF(H182="Não","Perdido",IF(H182="Sim","Consulta Marcada",IF(A182="","","Novo Paciente")))))))))))</f>
        <v/>
      </c>
      <c r="S182" s="4"/>
      <c r="T182" s="10" t="str">
        <f aca="false">IF(A182="","",SUMPRODUCT(($R$2:R182=R182)*($A$2:A182&lt;&gt;"")))</f>
        <v/>
      </c>
      <c r="U182" s="10" t="str">
        <f aca="false">IF(A182="","",R182&amp;"|"&amp;T182)</f>
        <v/>
      </c>
      <c r="V182" s="10" t="str">
        <f aca="false">IF(G182="","",TEXT(G182,"mm/yyyy"))</f>
        <v/>
      </c>
      <c r="W182" s="10" t="str">
        <f aca="false">IF(P182="","",TEXT(P182,"mm/yyyy"))</f>
        <v/>
      </c>
      <c r="X182" s="10" t="str">
        <f aca="false">IF(A182="","",IF(OR(R182="Fechado (Total)",R182="Fechado (Parcial)"),"Fechado|"&amp;SUMPRODUCT((($R$2:R182="Fechado (Total)")+($R$2:R182="Fechado (Parcial)"))*($A$2:A182&lt;&gt;"")),""))</f>
        <v/>
      </c>
      <c r="Y182" s="10" t="str">
        <f aca="false">IF(A182="","",IF(D182="Indicação",SUMPRODUCT(($D$2:D182="Indicação")*($A$2:A182&lt;&gt;"")),""))</f>
        <v/>
      </c>
      <c r="Z182" s="10" t="str">
        <f aca="false">IF(Y182="","","Indicacao|"&amp;Y182)</f>
        <v/>
      </c>
      <c r="AA182" s="10" t="str">
        <f aca="false">IF(I182="","",TEXT(I182,"mm/yyyy"))</f>
        <v/>
      </c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8"/>
      <c r="H183" s="6"/>
      <c r="I183" s="8"/>
      <c r="J183" s="6"/>
      <c r="K183" s="6"/>
      <c r="L183" s="6"/>
      <c r="M183" s="7"/>
      <c r="N183" s="6"/>
      <c r="O183" s="7"/>
      <c r="P183" s="8"/>
      <c r="Q183" s="4"/>
      <c r="R183" s="9" t="str">
        <f aca="false">IF(N183="Sim","Fechado (Total)",IF(N183="Parcial","Fechado (Parcial)",IF(N183="Não","Perdido",IF(N183="Pendente","Pendente",IF(N183="Não precisa no momento","Não Precisa no Momento",IF(L183="Sim","Plano de Tratamento",IF(J183="Não","Não Compareceu",IF(J183="Sim","Compareceu",IF(H183="Não","Perdido",IF(H183="Sim","Consulta Marcada",IF(A183="","","Novo Paciente")))))))))))</f>
        <v/>
      </c>
      <c r="S183" s="4"/>
      <c r="T183" s="10" t="str">
        <f aca="false">IF(A183="","",SUMPRODUCT(($R$2:R183=R183)*($A$2:A183&lt;&gt;"")))</f>
        <v/>
      </c>
      <c r="U183" s="10" t="str">
        <f aca="false">IF(A183="","",R183&amp;"|"&amp;T183)</f>
        <v/>
      </c>
      <c r="V183" s="10" t="str">
        <f aca="false">IF(G183="","",TEXT(G183,"mm/yyyy"))</f>
        <v/>
      </c>
      <c r="W183" s="10" t="str">
        <f aca="false">IF(P183="","",TEXT(P183,"mm/yyyy"))</f>
        <v/>
      </c>
      <c r="X183" s="10" t="str">
        <f aca="false">IF(A183="","",IF(OR(R183="Fechado (Total)",R183="Fechado (Parcial)"),"Fechado|"&amp;SUMPRODUCT((($R$2:R183="Fechado (Total)")+($R$2:R183="Fechado (Parcial)"))*($A$2:A183&lt;&gt;"")),""))</f>
        <v/>
      </c>
      <c r="Y183" s="10" t="str">
        <f aca="false">IF(A183="","",IF(D183="Indicação",SUMPRODUCT(($D$2:D183="Indicação")*($A$2:A183&lt;&gt;"")),""))</f>
        <v/>
      </c>
      <c r="Z183" s="10" t="str">
        <f aca="false">IF(Y183="","","Indicacao|"&amp;Y183)</f>
        <v/>
      </c>
      <c r="AA183" s="10" t="str">
        <f aca="false">IF(I183="","",TEXT(I183,"mm/yyyy"))</f>
        <v/>
      </c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8"/>
      <c r="H184" s="6"/>
      <c r="I184" s="8"/>
      <c r="J184" s="6"/>
      <c r="K184" s="6"/>
      <c r="L184" s="6"/>
      <c r="M184" s="7"/>
      <c r="N184" s="6"/>
      <c r="O184" s="7"/>
      <c r="P184" s="8"/>
      <c r="Q184" s="4"/>
      <c r="R184" s="9" t="str">
        <f aca="false">IF(N184="Sim","Fechado (Total)",IF(N184="Parcial","Fechado (Parcial)",IF(N184="Não","Perdido",IF(N184="Pendente","Pendente",IF(N184="Não precisa no momento","Não Precisa no Momento",IF(L184="Sim","Plano de Tratamento",IF(J184="Não","Não Compareceu",IF(J184="Sim","Compareceu",IF(H184="Não","Perdido",IF(H184="Sim","Consulta Marcada",IF(A184="","","Novo Paciente")))))))))))</f>
        <v/>
      </c>
      <c r="S184" s="4"/>
      <c r="T184" s="10" t="str">
        <f aca="false">IF(A184="","",SUMPRODUCT(($R$2:R184=R184)*($A$2:A184&lt;&gt;"")))</f>
        <v/>
      </c>
      <c r="U184" s="10" t="str">
        <f aca="false">IF(A184="","",R184&amp;"|"&amp;T184)</f>
        <v/>
      </c>
      <c r="V184" s="10" t="str">
        <f aca="false">IF(G184="","",TEXT(G184,"mm/yyyy"))</f>
        <v/>
      </c>
      <c r="W184" s="10" t="str">
        <f aca="false">IF(P184="","",TEXT(P184,"mm/yyyy"))</f>
        <v/>
      </c>
      <c r="X184" s="10" t="str">
        <f aca="false">IF(A184="","",IF(OR(R184="Fechado (Total)",R184="Fechado (Parcial)"),"Fechado|"&amp;SUMPRODUCT((($R$2:R184="Fechado (Total)")+($R$2:R184="Fechado (Parcial)"))*($A$2:A184&lt;&gt;"")),""))</f>
        <v/>
      </c>
      <c r="Y184" s="10" t="str">
        <f aca="false">IF(A184="","",IF(D184="Indicação",SUMPRODUCT(($D$2:D184="Indicação")*($A$2:A184&lt;&gt;"")),""))</f>
        <v/>
      </c>
      <c r="Z184" s="10" t="str">
        <f aca="false">IF(Y184="","","Indicacao|"&amp;Y184)</f>
        <v/>
      </c>
      <c r="AA184" s="10" t="str">
        <f aca="false">IF(I184="","",TEXT(I184,"mm/yyyy"))</f>
        <v/>
      </c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8"/>
      <c r="H185" s="6"/>
      <c r="I185" s="8"/>
      <c r="J185" s="6"/>
      <c r="K185" s="6"/>
      <c r="L185" s="6"/>
      <c r="M185" s="7"/>
      <c r="N185" s="6"/>
      <c r="O185" s="7"/>
      <c r="P185" s="8"/>
      <c r="Q185" s="4"/>
      <c r="R185" s="9" t="str">
        <f aca="false">IF(N185="Sim","Fechado (Total)",IF(N185="Parcial","Fechado (Parcial)",IF(N185="Não","Perdido",IF(N185="Pendente","Pendente",IF(N185="Não precisa no momento","Não Precisa no Momento",IF(L185="Sim","Plano de Tratamento",IF(J185="Não","Não Compareceu",IF(J185="Sim","Compareceu",IF(H185="Não","Perdido",IF(H185="Sim","Consulta Marcada",IF(A185="","","Novo Paciente")))))))))))</f>
        <v/>
      </c>
      <c r="S185" s="4"/>
      <c r="T185" s="10" t="str">
        <f aca="false">IF(A185="","",SUMPRODUCT(($R$2:R185=R185)*($A$2:A185&lt;&gt;"")))</f>
        <v/>
      </c>
      <c r="U185" s="10" t="str">
        <f aca="false">IF(A185="","",R185&amp;"|"&amp;T185)</f>
        <v/>
      </c>
      <c r="V185" s="10" t="str">
        <f aca="false">IF(G185="","",TEXT(G185,"mm/yyyy"))</f>
        <v/>
      </c>
      <c r="W185" s="10" t="str">
        <f aca="false">IF(P185="","",TEXT(P185,"mm/yyyy"))</f>
        <v/>
      </c>
      <c r="X185" s="10" t="str">
        <f aca="false">IF(A185="","",IF(OR(R185="Fechado (Total)",R185="Fechado (Parcial)"),"Fechado|"&amp;SUMPRODUCT((($R$2:R185="Fechado (Total)")+($R$2:R185="Fechado (Parcial)"))*($A$2:A185&lt;&gt;"")),""))</f>
        <v/>
      </c>
      <c r="Y185" s="10" t="str">
        <f aca="false">IF(A185="","",IF(D185="Indicação",SUMPRODUCT(($D$2:D185="Indicação")*($A$2:A185&lt;&gt;"")),""))</f>
        <v/>
      </c>
      <c r="Z185" s="10" t="str">
        <f aca="false">IF(Y185="","","Indicacao|"&amp;Y185)</f>
        <v/>
      </c>
      <c r="AA185" s="10" t="str">
        <f aca="false">IF(I185="","",TEXT(I185,"mm/yyyy"))</f>
        <v/>
      </c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8"/>
      <c r="H186" s="6"/>
      <c r="I186" s="8"/>
      <c r="J186" s="6"/>
      <c r="K186" s="6"/>
      <c r="L186" s="6"/>
      <c r="M186" s="7"/>
      <c r="N186" s="6"/>
      <c r="O186" s="7"/>
      <c r="P186" s="8"/>
      <c r="Q186" s="4"/>
      <c r="R186" s="9" t="str">
        <f aca="false">IF(N186="Sim","Fechado (Total)",IF(N186="Parcial","Fechado (Parcial)",IF(N186="Não","Perdido",IF(N186="Pendente","Pendente",IF(N186="Não precisa no momento","Não Precisa no Momento",IF(L186="Sim","Plano de Tratamento",IF(J186="Não","Não Compareceu",IF(J186="Sim","Compareceu",IF(H186="Não","Perdido",IF(H186="Sim","Consulta Marcada",IF(A186="","","Novo Paciente")))))))))))</f>
        <v/>
      </c>
      <c r="S186" s="4"/>
      <c r="T186" s="10" t="str">
        <f aca="false">IF(A186="","",SUMPRODUCT(($R$2:R186=R186)*($A$2:A186&lt;&gt;"")))</f>
        <v/>
      </c>
      <c r="U186" s="10" t="str">
        <f aca="false">IF(A186="","",R186&amp;"|"&amp;T186)</f>
        <v/>
      </c>
      <c r="V186" s="10" t="str">
        <f aca="false">IF(G186="","",TEXT(G186,"mm/yyyy"))</f>
        <v/>
      </c>
      <c r="W186" s="10" t="str">
        <f aca="false">IF(P186="","",TEXT(P186,"mm/yyyy"))</f>
        <v/>
      </c>
      <c r="X186" s="10" t="str">
        <f aca="false">IF(A186="","",IF(OR(R186="Fechado (Total)",R186="Fechado (Parcial)"),"Fechado|"&amp;SUMPRODUCT((($R$2:R186="Fechado (Total)")+($R$2:R186="Fechado (Parcial)"))*($A$2:A186&lt;&gt;"")),""))</f>
        <v/>
      </c>
      <c r="Y186" s="10" t="str">
        <f aca="false">IF(A186="","",IF(D186="Indicação",SUMPRODUCT(($D$2:D186="Indicação")*($A$2:A186&lt;&gt;"")),""))</f>
        <v/>
      </c>
      <c r="Z186" s="10" t="str">
        <f aca="false">IF(Y186="","","Indicacao|"&amp;Y186)</f>
        <v/>
      </c>
      <c r="AA186" s="10" t="str">
        <f aca="false">IF(I186="","",TEXT(I186,"mm/yyyy"))</f>
        <v/>
      </c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8"/>
      <c r="H187" s="6"/>
      <c r="I187" s="8"/>
      <c r="J187" s="6"/>
      <c r="K187" s="6"/>
      <c r="L187" s="6"/>
      <c r="M187" s="7"/>
      <c r="N187" s="6"/>
      <c r="O187" s="7"/>
      <c r="P187" s="8"/>
      <c r="Q187" s="4"/>
      <c r="R187" s="9" t="str">
        <f aca="false">IF(N187="Sim","Fechado (Total)",IF(N187="Parcial","Fechado (Parcial)",IF(N187="Não","Perdido",IF(N187="Pendente","Pendente",IF(N187="Não precisa no momento","Não Precisa no Momento",IF(L187="Sim","Plano de Tratamento",IF(J187="Não","Não Compareceu",IF(J187="Sim","Compareceu",IF(H187="Não","Perdido",IF(H187="Sim","Consulta Marcada",IF(A187="","","Novo Paciente")))))))))))</f>
        <v/>
      </c>
      <c r="S187" s="4"/>
      <c r="T187" s="10" t="str">
        <f aca="false">IF(A187="","",SUMPRODUCT(($R$2:R187=R187)*($A$2:A187&lt;&gt;"")))</f>
        <v/>
      </c>
      <c r="U187" s="10" t="str">
        <f aca="false">IF(A187="","",R187&amp;"|"&amp;T187)</f>
        <v/>
      </c>
      <c r="V187" s="10" t="str">
        <f aca="false">IF(G187="","",TEXT(G187,"mm/yyyy"))</f>
        <v/>
      </c>
      <c r="W187" s="10" t="str">
        <f aca="false">IF(P187="","",TEXT(P187,"mm/yyyy"))</f>
        <v/>
      </c>
      <c r="X187" s="10" t="str">
        <f aca="false">IF(A187="","",IF(OR(R187="Fechado (Total)",R187="Fechado (Parcial)"),"Fechado|"&amp;SUMPRODUCT((($R$2:R187="Fechado (Total)")+($R$2:R187="Fechado (Parcial)"))*($A$2:A187&lt;&gt;"")),""))</f>
        <v/>
      </c>
      <c r="Y187" s="10" t="str">
        <f aca="false">IF(A187="","",IF(D187="Indicação",SUMPRODUCT(($D$2:D187="Indicação")*($A$2:A187&lt;&gt;"")),""))</f>
        <v/>
      </c>
      <c r="Z187" s="10" t="str">
        <f aca="false">IF(Y187="","","Indicacao|"&amp;Y187)</f>
        <v/>
      </c>
      <c r="AA187" s="10" t="str">
        <f aca="false">IF(I187="","",TEXT(I187,"mm/yyyy"))</f>
        <v/>
      </c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8"/>
      <c r="H188" s="6"/>
      <c r="I188" s="8"/>
      <c r="J188" s="6"/>
      <c r="K188" s="6"/>
      <c r="L188" s="6"/>
      <c r="M188" s="7"/>
      <c r="N188" s="6"/>
      <c r="O188" s="7"/>
      <c r="P188" s="8"/>
      <c r="Q188" s="4"/>
      <c r="R188" s="9" t="str">
        <f aca="false">IF(N188="Sim","Fechado (Total)",IF(N188="Parcial","Fechado (Parcial)",IF(N188="Não","Perdido",IF(N188="Pendente","Pendente",IF(N188="Não precisa no momento","Não Precisa no Momento",IF(L188="Sim","Plano de Tratamento",IF(J188="Não","Não Compareceu",IF(J188="Sim","Compareceu",IF(H188="Não","Perdido",IF(H188="Sim","Consulta Marcada",IF(A188="","","Novo Paciente")))))))))))</f>
        <v/>
      </c>
      <c r="S188" s="4"/>
      <c r="T188" s="10" t="str">
        <f aca="false">IF(A188="","",SUMPRODUCT(($R$2:R188=R188)*($A$2:A188&lt;&gt;"")))</f>
        <v/>
      </c>
      <c r="U188" s="10" t="str">
        <f aca="false">IF(A188="","",R188&amp;"|"&amp;T188)</f>
        <v/>
      </c>
      <c r="V188" s="10" t="str">
        <f aca="false">IF(G188="","",TEXT(G188,"mm/yyyy"))</f>
        <v/>
      </c>
      <c r="W188" s="10" t="str">
        <f aca="false">IF(P188="","",TEXT(P188,"mm/yyyy"))</f>
        <v/>
      </c>
      <c r="X188" s="10" t="str">
        <f aca="false">IF(A188="","",IF(OR(R188="Fechado (Total)",R188="Fechado (Parcial)"),"Fechado|"&amp;SUMPRODUCT((($R$2:R188="Fechado (Total)")+($R$2:R188="Fechado (Parcial)"))*($A$2:A188&lt;&gt;"")),""))</f>
        <v/>
      </c>
      <c r="Y188" s="10" t="str">
        <f aca="false">IF(A188="","",IF(D188="Indicação",SUMPRODUCT(($D$2:D188="Indicação")*($A$2:A188&lt;&gt;"")),""))</f>
        <v/>
      </c>
      <c r="Z188" s="10" t="str">
        <f aca="false">IF(Y188="","","Indicacao|"&amp;Y188)</f>
        <v/>
      </c>
      <c r="AA188" s="10" t="str">
        <f aca="false">IF(I188="","",TEXT(I188,"mm/yyyy"))</f>
        <v/>
      </c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8"/>
      <c r="H189" s="6"/>
      <c r="I189" s="8"/>
      <c r="J189" s="6"/>
      <c r="K189" s="6"/>
      <c r="L189" s="6"/>
      <c r="M189" s="7"/>
      <c r="N189" s="6"/>
      <c r="O189" s="7"/>
      <c r="P189" s="8"/>
      <c r="Q189" s="4"/>
      <c r="R189" s="9" t="str">
        <f aca="false">IF(N189="Sim","Fechado (Total)",IF(N189="Parcial","Fechado (Parcial)",IF(N189="Não","Perdido",IF(N189="Pendente","Pendente",IF(N189="Não precisa no momento","Não Precisa no Momento",IF(L189="Sim","Plano de Tratamento",IF(J189="Não","Não Compareceu",IF(J189="Sim","Compareceu",IF(H189="Não","Perdido",IF(H189="Sim","Consulta Marcada",IF(A189="","","Novo Paciente")))))))))))</f>
        <v/>
      </c>
      <c r="S189" s="4"/>
      <c r="T189" s="10" t="str">
        <f aca="false">IF(A189="","",SUMPRODUCT(($R$2:R189=R189)*($A$2:A189&lt;&gt;"")))</f>
        <v/>
      </c>
      <c r="U189" s="10" t="str">
        <f aca="false">IF(A189="","",R189&amp;"|"&amp;T189)</f>
        <v/>
      </c>
      <c r="V189" s="10" t="str">
        <f aca="false">IF(G189="","",TEXT(G189,"mm/yyyy"))</f>
        <v/>
      </c>
      <c r="W189" s="10" t="str">
        <f aca="false">IF(P189="","",TEXT(P189,"mm/yyyy"))</f>
        <v/>
      </c>
      <c r="X189" s="10" t="str">
        <f aca="false">IF(A189="","",IF(OR(R189="Fechado (Total)",R189="Fechado (Parcial)"),"Fechado|"&amp;SUMPRODUCT((($R$2:R189="Fechado (Total)")+($R$2:R189="Fechado (Parcial)"))*($A$2:A189&lt;&gt;"")),""))</f>
        <v/>
      </c>
      <c r="Y189" s="10" t="str">
        <f aca="false">IF(A189="","",IF(D189="Indicação",SUMPRODUCT(($D$2:D189="Indicação")*($A$2:A189&lt;&gt;"")),""))</f>
        <v/>
      </c>
      <c r="Z189" s="10" t="str">
        <f aca="false">IF(Y189="","","Indicacao|"&amp;Y189)</f>
        <v/>
      </c>
      <c r="AA189" s="10" t="str">
        <f aca="false">IF(I189="","",TEXT(I189,"mm/yyyy"))</f>
        <v/>
      </c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8"/>
      <c r="H190" s="6"/>
      <c r="I190" s="8"/>
      <c r="J190" s="6"/>
      <c r="K190" s="6"/>
      <c r="L190" s="6"/>
      <c r="M190" s="7"/>
      <c r="N190" s="6"/>
      <c r="O190" s="7"/>
      <c r="P190" s="8"/>
      <c r="Q190" s="4"/>
      <c r="R190" s="9" t="str">
        <f aca="false">IF(N190="Sim","Fechado (Total)",IF(N190="Parcial","Fechado (Parcial)",IF(N190="Não","Perdido",IF(N190="Pendente","Pendente",IF(N190="Não precisa no momento","Não Precisa no Momento",IF(L190="Sim","Plano de Tratamento",IF(J190="Não","Não Compareceu",IF(J190="Sim","Compareceu",IF(H190="Não","Perdido",IF(H190="Sim","Consulta Marcada",IF(A190="","","Novo Paciente")))))))))))</f>
        <v/>
      </c>
      <c r="S190" s="4"/>
      <c r="T190" s="10" t="str">
        <f aca="false">IF(A190="","",SUMPRODUCT(($R$2:R190=R190)*($A$2:A190&lt;&gt;"")))</f>
        <v/>
      </c>
      <c r="U190" s="10" t="str">
        <f aca="false">IF(A190="","",R190&amp;"|"&amp;T190)</f>
        <v/>
      </c>
      <c r="V190" s="10" t="str">
        <f aca="false">IF(G190="","",TEXT(G190,"mm/yyyy"))</f>
        <v/>
      </c>
      <c r="W190" s="10" t="str">
        <f aca="false">IF(P190="","",TEXT(P190,"mm/yyyy"))</f>
        <v/>
      </c>
      <c r="X190" s="10" t="str">
        <f aca="false">IF(A190="","",IF(OR(R190="Fechado (Total)",R190="Fechado (Parcial)"),"Fechado|"&amp;SUMPRODUCT((($R$2:R190="Fechado (Total)")+($R$2:R190="Fechado (Parcial)"))*($A$2:A190&lt;&gt;"")),""))</f>
        <v/>
      </c>
      <c r="Y190" s="10" t="str">
        <f aca="false">IF(A190="","",IF(D190="Indicação",SUMPRODUCT(($D$2:D190="Indicação")*($A$2:A190&lt;&gt;"")),""))</f>
        <v/>
      </c>
      <c r="Z190" s="10" t="str">
        <f aca="false">IF(Y190="","","Indicacao|"&amp;Y190)</f>
        <v/>
      </c>
      <c r="AA190" s="10" t="str">
        <f aca="false">IF(I190="","",TEXT(I190,"mm/yyyy"))</f>
        <v/>
      </c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8"/>
      <c r="H191" s="6"/>
      <c r="I191" s="8"/>
      <c r="J191" s="6"/>
      <c r="K191" s="6"/>
      <c r="L191" s="6"/>
      <c r="M191" s="7"/>
      <c r="N191" s="6"/>
      <c r="O191" s="7"/>
      <c r="P191" s="8"/>
      <c r="Q191" s="4"/>
      <c r="R191" s="9" t="str">
        <f aca="false">IF(N191="Sim","Fechado (Total)",IF(N191="Parcial","Fechado (Parcial)",IF(N191="Não","Perdido",IF(N191="Pendente","Pendente",IF(N191="Não precisa no momento","Não Precisa no Momento",IF(L191="Sim","Plano de Tratamento",IF(J191="Não","Não Compareceu",IF(J191="Sim","Compareceu",IF(H191="Não","Perdido",IF(H191="Sim","Consulta Marcada",IF(A191="","","Novo Paciente")))))))))))</f>
        <v/>
      </c>
      <c r="S191" s="4"/>
      <c r="T191" s="10" t="str">
        <f aca="false">IF(A191="","",SUMPRODUCT(($R$2:R191=R191)*($A$2:A191&lt;&gt;"")))</f>
        <v/>
      </c>
      <c r="U191" s="10" t="str">
        <f aca="false">IF(A191="","",R191&amp;"|"&amp;T191)</f>
        <v/>
      </c>
      <c r="V191" s="10" t="str">
        <f aca="false">IF(G191="","",TEXT(G191,"mm/yyyy"))</f>
        <v/>
      </c>
      <c r="W191" s="10" t="str">
        <f aca="false">IF(P191="","",TEXT(P191,"mm/yyyy"))</f>
        <v/>
      </c>
      <c r="X191" s="10" t="str">
        <f aca="false">IF(A191="","",IF(OR(R191="Fechado (Total)",R191="Fechado (Parcial)"),"Fechado|"&amp;SUMPRODUCT((($R$2:R191="Fechado (Total)")+($R$2:R191="Fechado (Parcial)"))*($A$2:A191&lt;&gt;"")),""))</f>
        <v/>
      </c>
      <c r="Y191" s="10" t="str">
        <f aca="false">IF(A191="","",IF(D191="Indicação",SUMPRODUCT(($D$2:D191="Indicação")*($A$2:A191&lt;&gt;"")),""))</f>
        <v/>
      </c>
      <c r="Z191" s="10" t="str">
        <f aca="false">IF(Y191="","","Indicacao|"&amp;Y191)</f>
        <v/>
      </c>
      <c r="AA191" s="10" t="str">
        <f aca="false">IF(I191="","",TEXT(I191,"mm/yyyy"))</f>
        <v/>
      </c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8"/>
      <c r="H192" s="6"/>
      <c r="I192" s="8"/>
      <c r="J192" s="6"/>
      <c r="K192" s="6"/>
      <c r="L192" s="6"/>
      <c r="M192" s="7"/>
      <c r="N192" s="6"/>
      <c r="O192" s="7"/>
      <c r="P192" s="8"/>
      <c r="Q192" s="4"/>
      <c r="R192" s="9" t="str">
        <f aca="false">IF(N192="Sim","Fechado (Total)",IF(N192="Parcial","Fechado (Parcial)",IF(N192="Não","Perdido",IF(N192="Pendente","Pendente",IF(N192="Não precisa no momento","Não Precisa no Momento",IF(L192="Sim","Plano de Tratamento",IF(J192="Não","Não Compareceu",IF(J192="Sim","Compareceu",IF(H192="Não","Perdido",IF(H192="Sim","Consulta Marcada",IF(A192="","","Novo Paciente")))))))))))</f>
        <v/>
      </c>
      <c r="S192" s="4"/>
      <c r="T192" s="10" t="str">
        <f aca="false">IF(A192="","",SUMPRODUCT(($R$2:R192=R192)*($A$2:A192&lt;&gt;"")))</f>
        <v/>
      </c>
      <c r="U192" s="10" t="str">
        <f aca="false">IF(A192="","",R192&amp;"|"&amp;T192)</f>
        <v/>
      </c>
      <c r="V192" s="10" t="str">
        <f aca="false">IF(G192="","",TEXT(G192,"mm/yyyy"))</f>
        <v/>
      </c>
      <c r="W192" s="10" t="str">
        <f aca="false">IF(P192="","",TEXT(P192,"mm/yyyy"))</f>
        <v/>
      </c>
      <c r="X192" s="10" t="str">
        <f aca="false">IF(A192="","",IF(OR(R192="Fechado (Total)",R192="Fechado (Parcial)"),"Fechado|"&amp;SUMPRODUCT((($R$2:R192="Fechado (Total)")+($R$2:R192="Fechado (Parcial)"))*($A$2:A192&lt;&gt;"")),""))</f>
        <v/>
      </c>
      <c r="Y192" s="10" t="str">
        <f aca="false">IF(A192="","",IF(D192="Indicação",SUMPRODUCT(($D$2:D192="Indicação")*($A$2:A192&lt;&gt;"")),""))</f>
        <v/>
      </c>
      <c r="Z192" s="10" t="str">
        <f aca="false">IF(Y192="","","Indicacao|"&amp;Y192)</f>
        <v/>
      </c>
      <c r="AA192" s="10" t="str">
        <f aca="false">IF(I192="","",TEXT(I192,"mm/yyyy"))</f>
        <v/>
      </c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8"/>
      <c r="H193" s="6"/>
      <c r="I193" s="8"/>
      <c r="J193" s="6"/>
      <c r="K193" s="6"/>
      <c r="L193" s="6"/>
      <c r="M193" s="7"/>
      <c r="N193" s="6"/>
      <c r="O193" s="7"/>
      <c r="P193" s="8"/>
      <c r="Q193" s="4"/>
      <c r="R193" s="9" t="str">
        <f aca="false">IF(N193="Sim","Fechado (Total)",IF(N193="Parcial","Fechado (Parcial)",IF(N193="Não","Perdido",IF(N193="Pendente","Pendente",IF(N193="Não precisa no momento","Não Precisa no Momento",IF(L193="Sim","Plano de Tratamento",IF(J193="Não","Não Compareceu",IF(J193="Sim","Compareceu",IF(H193="Não","Perdido",IF(H193="Sim","Consulta Marcada",IF(A193="","","Novo Paciente")))))))))))</f>
        <v/>
      </c>
      <c r="S193" s="4"/>
      <c r="T193" s="10" t="str">
        <f aca="false">IF(A193="","",SUMPRODUCT(($R$2:R193=R193)*($A$2:A193&lt;&gt;"")))</f>
        <v/>
      </c>
      <c r="U193" s="10" t="str">
        <f aca="false">IF(A193="","",R193&amp;"|"&amp;T193)</f>
        <v/>
      </c>
      <c r="V193" s="10" t="str">
        <f aca="false">IF(G193="","",TEXT(G193,"mm/yyyy"))</f>
        <v/>
      </c>
      <c r="W193" s="10" t="str">
        <f aca="false">IF(P193="","",TEXT(P193,"mm/yyyy"))</f>
        <v/>
      </c>
      <c r="X193" s="10" t="str">
        <f aca="false">IF(A193="","",IF(OR(R193="Fechado (Total)",R193="Fechado (Parcial)"),"Fechado|"&amp;SUMPRODUCT((($R$2:R193="Fechado (Total)")+($R$2:R193="Fechado (Parcial)"))*($A$2:A193&lt;&gt;"")),""))</f>
        <v/>
      </c>
      <c r="Y193" s="10" t="str">
        <f aca="false">IF(A193="","",IF(D193="Indicação",SUMPRODUCT(($D$2:D193="Indicação")*($A$2:A193&lt;&gt;"")),""))</f>
        <v/>
      </c>
      <c r="Z193" s="10" t="str">
        <f aca="false">IF(Y193="","","Indicacao|"&amp;Y193)</f>
        <v/>
      </c>
      <c r="AA193" s="10" t="str">
        <f aca="false">IF(I193="","",TEXT(I193,"mm/yyyy"))</f>
        <v/>
      </c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8"/>
      <c r="H194" s="6"/>
      <c r="I194" s="8"/>
      <c r="J194" s="6"/>
      <c r="K194" s="6"/>
      <c r="L194" s="6"/>
      <c r="M194" s="7"/>
      <c r="N194" s="6"/>
      <c r="O194" s="7"/>
      <c r="P194" s="8"/>
      <c r="Q194" s="4"/>
      <c r="R194" s="9" t="str">
        <f aca="false">IF(N194="Sim","Fechado (Total)",IF(N194="Parcial","Fechado (Parcial)",IF(N194="Não","Perdido",IF(N194="Pendente","Pendente",IF(N194="Não precisa no momento","Não Precisa no Momento",IF(L194="Sim","Plano de Tratamento",IF(J194="Não","Não Compareceu",IF(J194="Sim","Compareceu",IF(H194="Não","Perdido",IF(H194="Sim","Consulta Marcada",IF(A194="","","Novo Paciente")))))))))))</f>
        <v/>
      </c>
      <c r="S194" s="4"/>
      <c r="T194" s="10" t="str">
        <f aca="false">IF(A194="","",SUMPRODUCT(($R$2:R194=R194)*($A$2:A194&lt;&gt;"")))</f>
        <v/>
      </c>
      <c r="U194" s="10" t="str">
        <f aca="false">IF(A194="","",R194&amp;"|"&amp;T194)</f>
        <v/>
      </c>
      <c r="V194" s="10" t="str">
        <f aca="false">IF(G194="","",TEXT(G194,"mm/yyyy"))</f>
        <v/>
      </c>
      <c r="W194" s="10" t="str">
        <f aca="false">IF(P194="","",TEXT(P194,"mm/yyyy"))</f>
        <v/>
      </c>
      <c r="X194" s="10" t="str">
        <f aca="false">IF(A194="","",IF(OR(R194="Fechado (Total)",R194="Fechado (Parcial)"),"Fechado|"&amp;SUMPRODUCT((($R$2:R194="Fechado (Total)")+($R$2:R194="Fechado (Parcial)"))*($A$2:A194&lt;&gt;"")),""))</f>
        <v/>
      </c>
      <c r="Y194" s="10" t="str">
        <f aca="false">IF(A194="","",IF(D194="Indicação",SUMPRODUCT(($D$2:D194="Indicação")*($A$2:A194&lt;&gt;"")),""))</f>
        <v/>
      </c>
      <c r="Z194" s="10" t="str">
        <f aca="false">IF(Y194="","","Indicacao|"&amp;Y194)</f>
        <v/>
      </c>
      <c r="AA194" s="10" t="str">
        <f aca="false">IF(I194="","",TEXT(I194,"mm/yyyy"))</f>
        <v/>
      </c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8"/>
      <c r="H195" s="6"/>
      <c r="I195" s="8"/>
      <c r="J195" s="6"/>
      <c r="K195" s="6"/>
      <c r="L195" s="6"/>
      <c r="M195" s="7"/>
      <c r="N195" s="6"/>
      <c r="O195" s="7"/>
      <c r="P195" s="8"/>
      <c r="Q195" s="4"/>
      <c r="R195" s="9" t="str">
        <f aca="false">IF(N195="Sim","Fechado (Total)",IF(N195="Parcial","Fechado (Parcial)",IF(N195="Não","Perdido",IF(N195="Pendente","Pendente",IF(N195="Não precisa no momento","Não Precisa no Momento",IF(L195="Sim","Plano de Tratamento",IF(J195="Não","Não Compareceu",IF(J195="Sim","Compareceu",IF(H195="Não","Perdido",IF(H195="Sim","Consulta Marcada",IF(A195="","","Novo Paciente")))))))))))</f>
        <v/>
      </c>
      <c r="S195" s="4"/>
      <c r="T195" s="10" t="str">
        <f aca="false">IF(A195="","",SUMPRODUCT(($R$2:R195=R195)*($A$2:A195&lt;&gt;"")))</f>
        <v/>
      </c>
      <c r="U195" s="10" t="str">
        <f aca="false">IF(A195="","",R195&amp;"|"&amp;T195)</f>
        <v/>
      </c>
      <c r="V195" s="10" t="str">
        <f aca="false">IF(G195="","",TEXT(G195,"mm/yyyy"))</f>
        <v/>
      </c>
      <c r="W195" s="10" t="str">
        <f aca="false">IF(P195="","",TEXT(P195,"mm/yyyy"))</f>
        <v/>
      </c>
      <c r="X195" s="10" t="str">
        <f aca="false">IF(A195="","",IF(OR(R195="Fechado (Total)",R195="Fechado (Parcial)"),"Fechado|"&amp;SUMPRODUCT((($R$2:R195="Fechado (Total)")+($R$2:R195="Fechado (Parcial)"))*($A$2:A195&lt;&gt;"")),""))</f>
        <v/>
      </c>
      <c r="Y195" s="10" t="str">
        <f aca="false">IF(A195="","",IF(D195="Indicação",SUMPRODUCT(($D$2:D195="Indicação")*($A$2:A195&lt;&gt;"")),""))</f>
        <v/>
      </c>
      <c r="Z195" s="10" t="str">
        <f aca="false">IF(Y195="","","Indicacao|"&amp;Y195)</f>
        <v/>
      </c>
      <c r="AA195" s="10" t="str">
        <f aca="false">IF(I195="","",TEXT(I195,"mm/yyyy"))</f>
        <v/>
      </c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8"/>
      <c r="H196" s="6"/>
      <c r="I196" s="8"/>
      <c r="J196" s="6"/>
      <c r="K196" s="6"/>
      <c r="L196" s="6"/>
      <c r="M196" s="7"/>
      <c r="N196" s="6"/>
      <c r="O196" s="7"/>
      <c r="P196" s="8"/>
      <c r="Q196" s="4"/>
      <c r="R196" s="9" t="str">
        <f aca="false">IF(N196="Sim","Fechado (Total)",IF(N196="Parcial","Fechado (Parcial)",IF(N196="Não","Perdido",IF(N196="Pendente","Pendente",IF(N196="Não precisa no momento","Não Precisa no Momento",IF(L196="Sim","Plano de Tratamento",IF(J196="Não","Não Compareceu",IF(J196="Sim","Compareceu",IF(H196="Não","Perdido",IF(H196="Sim","Consulta Marcada",IF(A196="","","Novo Paciente")))))))))))</f>
        <v/>
      </c>
      <c r="S196" s="4"/>
      <c r="T196" s="10" t="str">
        <f aca="false">IF(A196="","",SUMPRODUCT(($R$2:R196=R196)*($A$2:A196&lt;&gt;"")))</f>
        <v/>
      </c>
      <c r="U196" s="10" t="str">
        <f aca="false">IF(A196="","",R196&amp;"|"&amp;T196)</f>
        <v/>
      </c>
      <c r="V196" s="10" t="str">
        <f aca="false">IF(G196="","",TEXT(G196,"mm/yyyy"))</f>
        <v/>
      </c>
      <c r="W196" s="10" t="str">
        <f aca="false">IF(P196="","",TEXT(P196,"mm/yyyy"))</f>
        <v/>
      </c>
      <c r="X196" s="10" t="str">
        <f aca="false">IF(A196="","",IF(OR(R196="Fechado (Total)",R196="Fechado (Parcial)"),"Fechado|"&amp;SUMPRODUCT((($R$2:R196="Fechado (Total)")+($R$2:R196="Fechado (Parcial)"))*($A$2:A196&lt;&gt;"")),""))</f>
        <v/>
      </c>
      <c r="Y196" s="10" t="str">
        <f aca="false">IF(A196="","",IF(D196="Indicação",SUMPRODUCT(($D$2:D196="Indicação")*($A$2:A196&lt;&gt;"")),""))</f>
        <v/>
      </c>
      <c r="Z196" s="10" t="str">
        <f aca="false">IF(Y196="","","Indicacao|"&amp;Y196)</f>
        <v/>
      </c>
      <c r="AA196" s="10" t="str">
        <f aca="false">IF(I196="","",TEXT(I196,"mm/yyyy"))</f>
        <v/>
      </c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8"/>
      <c r="H197" s="6"/>
      <c r="I197" s="8"/>
      <c r="J197" s="6"/>
      <c r="K197" s="6"/>
      <c r="L197" s="6"/>
      <c r="M197" s="7"/>
      <c r="N197" s="6"/>
      <c r="O197" s="7"/>
      <c r="P197" s="8"/>
      <c r="Q197" s="4"/>
      <c r="R197" s="9" t="str">
        <f aca="false">IF(N197="Sim","Fechado (Total)",IF(N197="Parcial","Fechado (Parcial)",IF(N197="Não","Perdido",IF(N197="Pendente","Pendente",IF(N197="Não precisa no momento","Não Precisa no Momento",IF(L197="Sim","Plano de Tratamento",IF(J197="Não","Não Compareceu",IF(J197="Sim","Compareceu",IF(H197="Não","Perdido",IF(H197="Sim","Consulta Marcada",IF(A197="","","Novo Paciente")))))))))))</f>
        <v/>
      </c>
      <c r="S197" s="4"/>
      <c r="T197" s="10" t="str">
        <f aca="false">IF(A197="","",SUMPRODUCT(($R$2:R197=R197)*($A$2:A197&lt;&gt;"")))</f>
        <v/>
      </c>
      <c r="U197" s="10" t="str">
        <f aca="false">IF(A197="","",R197&amp;"|"&amp;T197)</f>
        <v/>
      </c>
      <c r="V197" s="10" t="str">
        <f aca="false">IF(G197="","",TEXT(G197,"mm/yyyy"))</f>
        <v/>
      </c>
      <c r="W197" s="10" t="str">
        <f aca="false">IF(P197="","",TEXT(P197,"mm/yyyy"))</f>
        <v/>
      </c>
      <c r="X197" s="10" t="str">
        <f aca="false">IF(A197="","",IF(OR(R197="Fechado (Total)",R197="Fechado (Parcial)"),"Fechado|"&amp;SUMPRODUCT((($R$2:R197="Fechado (Total)")+($R$2:R197="Fechado (Parcial)"))*($A$2:A197&lt;&gt;"")),""))</f>
        <v/>
      </c>
      <c r="Y197" s="10" t="str">
        <f aca="false">IF(A197="","",IF(D197="Indicação",SUMPRODUCT(($D$2:D197="Indicação")*($A$2:A197&lt;&gt;"")),""))</f>
        <v/>
      </c>
      <c r="Z197" s="10" t="str">
        <f aca="false">IF(Y197="","","Indicacao|"&amp;Y197)</f>
        <v/>
      </c>
      <c r="AA197" s="10" t="str">
        <f aca="false">IF(I197="","",TEXT(I197,"mm/yyyy"))</f>
        <v/>
      </c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8"/>
      <c r="H198" s="6"/>
      <c r="I198" s="8"/>
      <c r="J198" s="6"/>
      <c r="K198" s="6"/>
      <c r="L198" s="6"/>
      <c r="M198" s="7"/>
      <c r="N198" s="6"/>
      <c r="O198" s="7"/>
      <c r="P198" s="8"/>
      <c r="Q198" s="4"/>
      <c r="R198" s="9" t="str">
        <f aca="false">IF(N198="Sim","Fechado (Total)",IF(N198="Parcial","Fechado (Parcial)",IF(N198="Não","Perdido",IF(N198="Pendente","Pendente",IF(N198="Não precisa no momento","Não Precisa no Momento",IF(L198="Sim","Plano de Tratamento",IF(J198="Não","Não Compareceu",IF(J198="Sim","Compareceu",IF(H198="Não","Perdido",IF(H198="Sim","Consulta Marcada",IF(A198="","","Novo Paciente")))))))))))</f>
        <v/>
      </c>
      <c r="S198" s="4"/>
      <c r="T198" s="10" t="str">
        <f aca="false">IF(A198="","",SUMPRODUCT(($R$2:R198=R198)*($A$2:A198&lt;&gt;"")))</f>
        <v/>
      </c>
      <c r="U198" s="10" t="str">
        <f aca="false">IF(A198="","",R198&amp;"|"&amp;T198)</f>
        <v/>
      </c>
      <c r="V198" s="10" t="str">
        <f aca="false">IF(G198="","",TEXT(G198,"mm/yyyy"))</f>
        <v/>
      </c>
      <c r="W198" s="10" t="str">
        <f aca="false">IF(P198="","",TEXT(P198,"mm/yyyy"))</f>
        <v/>
      </c>
      <c r="X198" s="10" t="str">
        <f aca="false">IF(A198="","",IF(OR(R198="Fechado (Total)",R198="Fechado (Parcial)"),"Fechado|"&amp;SUMPRODUCT((($R$2:R198="Fechado (Total)")+($R$2:R198="Fechado (Parcial)"))*($A$2:A198&lt;&gt;"")),""))</f>
        <v/>
      </c>
      <c r="Y198" s="10" t="str">
        <f aca="false">IF(A198="","",IF(D198="Indicação",SUMPRODUCT(($D$2:D198="Indicação")*($A$2:A198&lt;&gt;"")),""))</f>
        <v/>
      </c>
      <c r="Z198" s="10" t="str">
        <f aca="false">IF(Y198="","","Indicacao|"&amp;Y198)</f>
        <v/>
      </c>
      <c r="AA198" s="10" t="str">
        <f aca="false">IF(I198="","",TEXT(I198,"mm/yyyy"))</f>
        <v/>
      </c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8"/>
      <c r="H199" s="6"/>
      <c r="I199" s="8"/>
      <c r="J199" s="6"/>
      <c r="K199" s="6"/>
      <c r="L199" s="6"/>
      <c r="M199" s="7"/>
      <c r="N199" s="6"/>
      <c r="O199" s="7"/>
      <c r="P199" s="8"/>
      <c r="Q199" s="4"/>
      <c r="R199" s="9" t="str">
        <f aca="false">IF(N199="Sim","Fechado (Total)",IF(N199="Parcial","Fechado (Parcial)",IF(N199="Não","Perdido",IF(N199="Pendente","Pendente",IF(N199="Não precisa no momento","Não Precisa no Momento",IF(L199="Sim","Plano de Tratamento",IF(J199="Não","Não Compareceu",IF(J199="Sim","Compareceu",IF(H199="Não","Perdido",IF(H199="Sim","Consulta Marcada",IF(A199="","","Novo Paciente")))))))))))</f>
        <v/>
      </c>
      <c r="S199" s="4"/>
      <c r="T199" s="10" t="str">
        <f aca="false">IF(A199="","",SUMPRODUCT(($R$2:R199=R199)*($A$2:A199&lt;&gt;"")))</f>
        <v/>
      </c>
      <c r="U199" s="10" t="str">
        <f aca="false">IF(A199="","",R199&amp;"|"&amp;T199)</f>
        <v/>
      </c>
      <c r="V199" s="10" t="str">
        <f aca="false">IF(G199="","",TEXT(G199,"mm/yyyy"))</f>
        <v/>
      </c>
      <c r="W199" s="10" t="str">
        <f aca="false">IF(P199="","",TEXT(P199,"mm/yyyy"))</f>
        <v/>
      </c>
      <c r="X199" s="10" t="str">
        <f aca="false">IF(A199="","",IF(OR(R199="Fechado (Total)",R199="Fechado (Parcial)"),"Fechado|"&amp;SUMPRODUCT((($R$2:R199="Fechado (Total)")+($R$2:R199="Fechado (Parcial)"))*($A$2:A199&lt;&gt;"")),""))</f>
        <v/>
      </c>
      <c r="Y199" s="10" t="str">
        <f aca="false">IF(A199="","",IF(D199="Indicação",SUMPRODUCT(($D$2:D199="Indicação")*($A$2:A199&lt;&gt;"")),""))</f>
        <v/>
      </c>
      <c r="Z199" s="10" t="str">
        <f aca="false">IF(Y199="","","Indicacao|"&amp;Y199)</f>
        <v/>
      </c>
      <c r="AA199" s="10" t="str">
        <f aca="false">IF(I199="","",TEXT(I199,"mm/yyyy"))</f>
        <v/>
      </c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8"/>
      <c r="H200" s="6"/>
      <c r="I200" s="8"/>
      <c r="J200" s="6"/>
      <c r="K200" s="6"/>
      <c r="L200" s="6"/>
      <c r="M200" s="7"/>
      <c r="N200" s="6"/>
      <c r="O200" s="7"/>
      <c r="P200" s="8"/>
      <c r="Q200" s="4"/>
      <c r="R200" s="9" t="str">
        <f aca="false">IF(N200="Sim","Fechado (Total)",IF(N200="Parcial","Fechado (Parcial)",IF(N200="Não","Perdido",IF(N200="Pendente","Pendente",IF(N200="Não precisa no momento","Não Precisa no Momento",IF(L200="Sim","Plano de Tratamento",IF(J200="Não","Não Compareceu",IF(J200="Sim","Compareceu",IF(H200="Não","Perdido",IF(H200="Sim","Consulta Marcada",IF(A200="","","Novo Paciente")))))))))))</f>
        <v/>
      </c>
      <c r="S200" s="4"/>
      <c r="T200" s="10" t="str">
        <f aca="false">IF(A200="","",SUMPRODUCT(($R$2:R200=R200)*($A$2:A200&lt;&gt;"")))</f>
        <v/>
      </c>
      <c r="U200" s="10" t="str">
        <f aca="false">IF(A200="","",R200&amp;"|"&amp;T200)</f>
        <v/>
      </c>
      <c r="V200" s="10" t="str">
        <f aca="false">IF(G200="","",TEXT(G200,"mm/yyyy"))</f>
        <v/>
      </c>
      <c r="W200" s="10" t="str">
        <f aca="false">IF(P200="","",TEXT(P200,"mm/yyyy"))</f>
        <v/>
      </c>
      <c r="X200" s="10" t="str">
        <f aca="false">IF(A200="","",IF(OR(R200="Fechado (Total)",R200="Fechado (Parcial)"),"Fechado|"&amp;SUMPRODUCT((($R$2:R200="Fechado (Total)")+($R$2:R200="Fechado (Parcial)"))*($A$2:A200&lt;&gt;"")),""))</f>
        <v/>
      </c>
      <c r="Y200" s="10" t="str">
        <f aca="false">IF(A200="","",IF(D200="Indicação",SUMPRODUCT(($D$2:D200="Indicação")*($A$2:A200&lt;&gt;"")),""))</f>
        <v/>
      </c>
      <c r="Z200" s="10" t="str">
        <f aca="false">IF(Y200="","","Indicacao|"&amp;Y200)</f>
        <v/>
      </c>
      <c r="AA200" s="10" t="str">
        <f aca="false">IF(I200="","",TEXT(I200,"mm/yyyy"))</f>
        <v/>
      </c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8"/>
      <c r="H201" s="6"/>
      <c r="I201" s="8"/>
      <c r="J201" s="6"/>
      <c r="K201" s="6"/>
      <c r="L201" s="6"/>
      <c r="M201" s="7"/>
      <c r="N201" s="6"/>
      <c r="O201" s="7"/>
      <c r="P201" s="8"/>
      <c r="Q201" s="4"/>
      <c r="R201" s="9" t="str">
        <f aca="false">IF(N201="Sim","Fechado (Total)",IF(N201="Parcial","Fechado (Parcial)",IF(N201="Não","Perdido",IF(N201="Pendente","Pendente",IF(N201="Não precisa no momento","Não Precisa no Momento",IF(L201="Sim","Plano de Tratamento",IF(J201="Não","Não Compareceu",IF(J201="Sim","Compareceu",IF(H201="Não","Perdido",IF(H201="Sim","Consulta Marcada",IF(A201="","","Novo Paciente")))))))))))</f>
        <v/>
      </c>
      <c r="S201" s="4"/>
      <c r="T201" s="10" t="str">
        <f aca="false">IF(A201="","",SUMPRODUCT(($R$2:R201=R201)*($A$2:A201&lt;&gt;"")))</f>
        <v/>
      </c>
      <c r="U201" s="10" t="str">
        <f aca="false">IF(A201="","",R201&amp;"|"&amp;T201)</f>
        <v/>
      </c>
      <c r="V201" s="10" t="str">
        <f aca="false">IF(G201="","",TEXT(G201,"mm/yyyy"))</f>
        <v/>
      </c>
      <c r="W201" s="10" t="str">
        <f aca="false">IF(P201="","",TEXT(P201,"mm/yyyy"))</f>
        <v/>
      </c>
      <c r="X201" s="10" t="str">
        <f aca="false">IF(A201="","",IF(OR(R201="Fechado (Total)",R201="Fechado (Parcial)"),"Fechado|"&amp;SUMPRODUCT((($R$2:R201="Fechado (Total)")+($R$2:R201="Fechado (Parcial)"))*($A$2:A201&lt;&gt;"")),""))</f>
        <v/>
      </c>
      <c r="Y201" s="10" t="str">
        <f aca="false">IF(A201="","",IF(D201="Indicação",SUMPRODUCT(($D$2:D201="Indicação")*($A$2:A201&lt;&gt;"")),""))</f>
        <v/>
      </c>
      <c r="Z201" s="10" t="str">
        <f aca="false">IF(Y201="","","Indicacao|"&amp;Y201)</f>
        <v/>
      </c>
      <c r="AA201" s="10" t="str">
        <f aca="false">IF(I201="","",TEXT(I201,"mm/yyyy"))</f>
        <v/>
      </c>
    </row>
    <row r="202" customFormat="false" ht="15" hidden="false" customHeight="true" outlineLevel="0" collapsed="false">
      <c r="A202" s="4"/>
      <c r="B202" s="4"/>
      <c r="C202" s="4"/>
      <c r="D202" s="4"/>
      <c r="E202" s="4"/>
      <c r="F202" s="4"/>
      <c r="G202" s="8"/>
      <c r="H202" s="6"/>
      <c r="I202" s="8"/>
      <c r="J202" s="6"/>
      <c r="K202" s="6"/>
      <c r="L202" s="6"/>
      <c r="M202" s="7"/>
      <c r="N202" s="6"/>
      <c r="O202" s="7"/>
      <c r="P202" s="8"/>
      <c r="Q202" s="4"/>
      <c r="R202" s="9" t="str">
        <f aca="false">IF(N202="Sim","Fechado (Total)",IF(N202="Parcial","Fechado (Parcial)",IF(N202="Não","Perdido",IF(N202="Pendente","Pendente",IF(N202="Não precisa no momento","Não Precisa no Momento",IF(L202="Sim","Plano de Tratamento",IF(J202="Não","Não Compareceu",IF(J202="Sim","Compareceu",IF(H202="Não","Perdido",IF(H202="Sim","Consulta Marcada",IF(A202="","","Novo Paciente")))))))))))</f>
        <v/>
      </c>
      <c r="S202" s="4"/>
      <c r="T202" s="10" t="str">
        <f aca="false">IF(A202="","",SUMPRODUCT(($R$2:R202=R202)*($A$2:A202&lt;&gt;"")))</f>
        <v/>
      </c>
      <c r="U202" s="10" t="str">
        <f aca="false">IF(A202="","",R202&amp;"|"&amp;T202)</f>
        <v/>
      </c>
      <c r="V202" s="10" t="str">
        <f aca="false">IF(G202="","",TEXT(G202,"mm/yyyy"))</f>
        <v/>
      </c>
      <c r="W202" s="10" t="str">
        <f aca="false">IF(P202="","",TEXT(P202,"mm/yyyy"))</f>
        <v/>
      </c>
      <c r="X202" s="10" t="str">
        <f aca="false">IF(A202="","",IF(OR(R202="Fechado (Total)",R202="Fechado (Parcial)"),"Fechado|"&amp;SUMPRODUCT((($R$2:R202="Fechado (Total)")+($R$2:R202="Fechado (Parcial)"))*($A$2:A202&lt;&gt;"")),""))</f>
        <v/>
      </c>
      <c r="Y202" s="10" t="str">
        <f aca="false">IF(A202="","",IF(D202="Indicação",SUMPRODUCT(($D$2:D202="Indicação")*($A$2:A202&lt;&gt;"")),""))</f>
        <v/>
      </c>
      <c r="Z202" s="10" t="str">
        <f aca="false">IF(Y202="","","Indicacao|"&amp;Y202)</f>
        <v/>
      </c>
      <c r="AA202" s="10" t="str">
        <f aca="false">IF(I202="","",TEXT(I202,"mm/yyyy"))</f>
        <v/>
      </c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8"/>
      <c r="H203" s="6"/>
      <c r="I203" s="8"/>
      <c r="J203" s="6"/>
      <c r="K203" s="6"/>
      <c r="L203" s="6"/>
      <c r="M203" s="7"/>
      <c r="N203" s="6"/>
      <c r="O203" s="7"/>
      <c r="P203" s="8"/>
      <c r="Q203" s="4"/>
      <c r="R203" s="9" t="str">
        <f aca="false">IF(N203="Sim","Fechado (Total)",IF(N203="Parcial","Fechado (Parcial)",IF(N203="Não","Perdido",IF(N203="Pendente","Pendente",IF(N203="Não precisa no momento","Não Precisa no Momento",IF(L203="Sim","Plano de Tratamento",IF(J203="Não","Não Compareceu",IF(J203="Sim","Compareceu",IF(H203="Não","Perdido",IF(H203="Sim","Consulta Marcada",IF(A203="","","Novo Paciente")))))))))))</f>
        <v/>
      </c>
      <c r="S203" s="4"/>
      <c r="T203" s="10" t="str">
        <f aca="false">IF(A203="","",SUMPRODUCT(($R$2:R203=R203)*($A$2:A203&lt;&gt;"")))</f>
        <v/>
      </c>
      <c r="U203" s="10" t="str">
        <f aca="false">IF(A203="","",R203&amp;"|"&amp;T203)</f>
        <v/>
      </c>
      <c r="V203" s="10" t="str">
        <f aca="false">IF(G203="","",TEXT(G203,"mm/yyyy"))</f>
        <v/>
      </c>
      <c r="W203" s="10" t="str">
        <f aca="false">IF(P203="","",TEXT(P203,"mm/yyyy"))</f>
        <v/>
      </c>
      <c r="X203" s="10" t="str">
        <f aca="false">IF(A203="","",IF(OR(R203="Fechado (Total)",R203="Fechado (Parcial)"),"Fechado|"&amp;SUMPRODUCT((($R$2:R203="Fechado (Total)")+($R$2:R203="Fechado (Parcial)"))*($A$2:A203&lt;&gt;"")),""))</f>
        <v/>
      </c>
      <c r="Y203" s="10" t="str">
        <f aca="false">IF(A203="","",IF(D203="Indicação",SUMPRODUCT(($D$2:D203="Indicação")*($A$2:A203&lt;&gt;"")),""))</f>
        <v/>
      </c>
      <c r="Z203" s="10" t="str">
        <f aca="false">IF(Y203="","","Indicacao|"&amp;Y203)</f>
        <v/>
      </c>
      <c r="AA203" s="10" t="str">
        <f aca="false">IF(I203="","",TEXT(I203,"mm/yyyy"))</f>
        <v/>
      </c>
    </row>
    <row r="204" customFormat="false" ht="15" hidden="false" customHeight="true" outlineLevel="0" collapsed="false">
      <c r="A204" s="4"/>
      <c r="B204" s="4"/>
      <c r="C204" s="4"/>
      <c r="D204" s="4"/>
      <c r="E204" s="4"/>
      <c r="F204" s="4"/>
      <c r="G204" s="8"/>
      <c r="H204" s="6"/>
      <c r="I204" s="8"/>
      <c r="J204" s="6"/>
      <c r="K204" s="6"/>
      <c r="L204" s="6"/>
      <c r="M204" s="7"/>
      <c r="N204" s="6"/>
      <c r="O204" s="7"/>
      <c r="P204" s="8"/>
      <c r="Q204" s="4"/>
      <c r="R204" s="9" t="str">
        <f aca="false">IF(N204="Sim","Fechado (Total)",IF(N204="Parcial","Fechado (Parcial)",IF(N204="Não","Perdido",IF(N204="Pendente","Pendente",IF(N204="Não precisa no momento","Não Precisa no Momento",IF(L204="Sim","Plano de Tratamento",IF(J204="Não","Não Compareceu",IF(J204="Sim","Compareceu",IF(H204="Não","Perdido",IF(H204="Sim","Consulta Marcada",IF(A204="","","Novo Paciente")))))))))))</f>
        <v/>
      </c>
      <c r="S204" s="4"/>
      <c r="T204" s="10" t="str">
        <f aca="false">IF(A204="","",SUMPRODUCT(($R$2:R204=R204)*($A$2:A204&lt;&gt;"")))</f>
        <v/>
      </c>
      <c r="U204" s="10" t="str">
        <f aca="false">IF(A204="","",R204&amp;"|"&amp;T204)</f>
        <v/>
      </c>
      <c r="V204" s="10" t="str">
        <f aca="false">IF(G204="","",TEXT(G204,"mm/yyyy"))</f>
        <v/>
      </c>
      <c r="W204" s="10" t="str">
        <f aca="false">IF(P204="","",TEXT(P204,"mm/yyyy"))</f>
        <v/>
      </c>
      <c r="X204" s="10" t="str">
        <f aca="false">IF(A204="","",IF(OR(R204="Fechado (Total)",R204="Fechado (Parcial)"),"Fechado|"&amp;SUMPRODUCT((($R$2:R204="Fechado (Total)")+($R$2:R204="Fechado (Parcial)"))*($A$2:A204&lt;&gt;"")),""))</f>
        <v/>
      </c>
      <c r="Y204" s="10" t="str">
        <f aca="false">IF(A204="","",IF(D204="Indicação",SUMPRODUCT(($D$2:D204="Indicação")*($A$2:A204&lt;&gt;"")),""))</f>
        <v/>
      </c>
      <c r="Z204" s="10" t="str">
        <f aca="false">IF(Y204="","","Indicacao|"&amp;Y204)</f>
        <v/>
      </c>
      <c r="AA204" s="10" t="str">
        <f aca="false">IF(I204="","",TEXT(I204,"mm/yyyy"))</f>
        <v/>
      </c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8"/>
      <c r="H205" s="6"/>
      <c r="I205" s="8"/>
      <c r="J205" s="6"/>
      <c r="K205" s="6"/>
      <c r="L205" s="6"/>
      <c r="M205" s="7"/>
      <c r="N205" s="6"/>
      <c r="O205" s="7"/>
      <c r="P205" s="8"/>
      <c r="Q205" s="4"/>
      <c r="R205" s="9" t="str">
        <f aca="false">IF(N205="Sim","Fechado (Total)",IF(N205="Parcial","Fechado (Parcial)",IF(N205="Não","Perdido",IF(N205="Pendente","Pendente",IF(N205="Não precisa no momento","Não Precisa no Momento",IF(L205="Sim","Plano de Tratamento",IF(J205="Não","Não Compareceu",IF(J205="Sim","Compareceu",IF(H205="Não","Perdido",IF(H205="Sim","Consulta Marcada",IF(A205="","","Novo Paciente")))))))))))</f>
        <v/>
      </c>
      <c r="S205" s="4"/>
      <c r="T205" s="10" t="str">
        <f aca="false">IF(A205="","",SUMPRODUCT(($R$2:R205=R205)*($A$2:A205&lt;&gt;"")))</f>
        <v/>
      </c>
      <c r="U205" s="10" t="str">
        <f aca="false">IF(A205="","",R205&amp;"|"&amp;T205)</f>
        <v/>
      </c>
      <c r="V205" s="10" t="str">
        <f aca="false">IF(G205="","",TEXT(G205,"mm/yyyy"))</f>
        <v/>
      </c>
      <c r="W205" s="10" t="str">
        <f aca="false">IF(P205="","",TEXT(P205,"mm/yyyy"))</f>
        <v/>
      </c>
      <c r="X205" s="10" t="str">
        <f aca="false">IF(A205="","",IF(OR(R205="Fechado (Total)",R205="Fechado (Parcial)"),"Fechado|"&amp;SUMPRODUCT((($R$2:R205="Fechado (Total)")+($R$2:R205="Fechado (Parcial)"))*($A$2:A205&lt;&gt;"")),""))</f>
        <v/>
      </c>
      <c r="Y205" s="10" t="str">
        <f aca="false">IF(A205="","",IF(D205="Indicação",SUMPRODUCT(($D$2:D205="Indicação")*($A$2:A205&lt;&gt;"")),""))</f>
        <v/>
      </c>
      <c r="Z205" s="10" t="str">
        <f aca="false">IF(Y205="","","Indicacao|"&amp;Y205)</f>
        <v/>
      </c>
      <c r="AA205" s="10" t="str">
        <f aca="false">IF(I205="","",TEXT(I205,"mm/yyyy"))</f>
        <v/>
      </c>
    </row>
    <row r="206" customFormat="false" ht="15" hidden="false" customHeight="true" outlineLevel="0" collapsed="false">
      <c r="A206" s="4"/>
      <c r="B206" s="4"/>
      <c r="C206" s="4"/>
      <c r="D206" s="4"/>
      <c r="E206" s="4"/>
      <c r="F206" s="4"/>
      <c r="G206" s="8"/>
      <c r="H206" s="6"/>
      <c r="I206" s="8"/>
      <c r="J206" s="6"/>
      <c r="K206" s="6"/>
      <c r="L206" s="6"/>
      <c r="M206" s="7"/>
      <c r="N206" s="6"/>
      <c r="O206" s="7"/>
      <c r="P206" s="8"/>
      <c r="Q206" s="4"/>
      <c r="R206" s="9" t="str">
        <f aca="false">IF(N206="Sim","Fechado (Total)",IF(N206="Parcial","Fechado (Parcial)",IF(N206="Não","Perdido",IF(N206="Pendente","Pendente",IF(N206="Não precisa no momento","Não Precisa no Momento",IF(L206="Sim","Plano de Tratamento",IF(J206="Não","Não Compareceu",IF(J206="Sim","Compareceu",IF(H206="Não","Perdido",IF(H206="Sim","Consulta Marcada",IF(A206="","","Novo Paciente")))))))))))</f>
        <v/>
      </c>
      <c r="S206" s="4"/>
      <c r="T206" s="10" t="str">
        <f aca="false">IF(A206="","",SUMPRODUCT(($R$2:R206=R206)*($A$2:A206&lt;&gt;"")))</f>
        <v/>
      </c>
      <c r="U206" s="10" t="str">
        <f aca="false">IF(A206="","",R206&amp;"|"&amp;T206)</f>
        <v/>
      </c>
      <c r="V206" s="10" t="str">
        <f aca="false">IF(G206="","",TEXT(G206,"mm/yyyy"))</f>
        <v/>
      </c>
      <c r="W206" s="10" t="str">
        <f aca="false">IF(P206="","",TEXT(P206,"mm/yyyy"))</f>
        <v/>
      </c>
      <c r="X206" s="10" t="str">
        <f aca="false">IF(A206="","",IF(OR(R206="Fechado (Total)",R206="Fechado (Parcial)"),"Fechado|"&amp;SUMPRODUCT((($R$2:R206="Fechado (Total)")+($R$2:R206="Fechado (Parcial)"))*($A$2:A206&lt;&gt;"")),""))</f>
        <v/>
      </c>
      <c r="Y206" s="10" t="str">
        <f aca="false">IF(A206="","",IF(D206="Indicação",SUMPRODUCT(($D$2:D206="Indicação")*($A$2:A206&lt;&gt;"")),""))</f>
        <v/>
      </c>
      <c r="Z206" s="10" t="str">
        <f aca="false">IF(Y206="","","Indicacao|"&amp;Y206)</f>
        <v/>
      </c>
      <c r="AA206" s="10" t="str">
        <f aca="false">IF(I206="","",TEXT(I206,"mm/yyyy"))</f>
        <v/>
      </c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8"/>
      <c r="H207" s="6"/>
      <c r="I207" s="8"/>
      <c r="J207" s="6"/>
      <c r="K207" s="6"/>
      <c r="L207" s="6"/>
      <c r="M207" s="7"/>
      <c r="N207" s="6"/>
      <c r="O207" s="7"/>
      <c r="P207" s="8"/>
      <c r="Q207" s="4"/>
      <c r="R207" s="9" t="str">
        <f aca="false">IF(N207="Sim","Fechado (Total)",IF(N207="Parcial","Fechado (Parcial)",IF(N207="Não","Perdido",IF(N207="Pendente","Pendente",IF(N207="Não precisa no momento","Não Precisa no Momento",IF(L207="Sim","Plano de Tratamento",IF(J207="Não","Não Compareceu",IF(J207="Sim","Compareceu",IF(H207="Não","Perdido",IF(H207="Sim","Consulta Marcada",IF(A207="","","Novo Paciente")))))))))))</f>
        <v/>
      </c>
      <c r="S207" s="4"/>
      <c r="T207" s="10" t="str">
        <f aca="false">IF(A207="","",SUMPRODUCT(($R$2:R207=R207)*($A$2:A207&lt;&gt;"")))</f>
        <v/>
      </c>
      <c r="U207" s="10" t="str">
        <f aca="false">IF(A207="","",R207&amp;"|"&amp;T207)</f>
        <v/>
      </c>
      <c r="V207" s="10" t="str">
        <f aca="false">IF(G207="","",TEXT(G207,"mm/yyyy"))</f>
        <v/>
      </c>
      <c r="W207" s="10" t="str">
        <f aca="false">IF(P207="","",TEXT(P207,"mm/yyyy"))</f>
        <v/>
      </c>
      <c r="X207" s="10" t="str">
        <f aca="false">IF(A207="","",IF(OR(R207="Fechado (Total)",R207="Fechado (Parcial)"),"Fechado|"&amp;SUMPRODUCT((($R$2:R207="Fechado (Total)")+($R$2:R207="Fechado (Parcial)"))*($A$2:A207&lt;&gt;"")),""))</f>
        <v/>
      </c>
      <c r="Y207" s="10" t="str">
        <f aca="false">IF(A207="","",IF(D207="Indicação",SUMPRODUCT(($D$2:D207="Indicação")*($A$2:A207&lt;&gt;"")),""))</f>
        <v/>
      </c>
      <c r="Z207" s="10" t="str">
        <f aca="false">IF(Y207="","","Indicacao|"&amp;Y207)</f>
        <v/>
      </c>
      <c r="AA207" s="10" t="str">
        <f aca="false">IF(I207="","",TEXT(I207,"mm/yyyy"))</f>
        <v/>
      </c>
    </row>
    <row r="208" customFormat="false" ht="15" hidden="false" customHeight="true" outlineLevel="0" collapsed="false">
      <c r="A208" s="4"/>
      <c r="B208" s="4"/>
      <c r="C208" s="4"/>
      <c r="D208" s="4"/>
      <c r="E208" s="4"/>
      <c r="F208" s="4"/>
      <c r="G208" s="8"/>
      <c r="H208" s="6"/>
      <c r="I208" s="8"/>
      <c r="J208" s="6"/>
      <c r="K208" s="6"/>
      <c r="L208" s="6"/>
      <c r="M208" s="7"/>
      <c r="N208" s="6"/>
      <c r="O208" s="7"/>
      <c r="P208" s="8"/>
      <c r="Q208" s="4"/>
      <c r="R208" s="9" t="str">
        <f aca="false">IF(N208="Sim","Fechado (Total)",IF(N208="Parcial","Fechado (Parcial)",IF(N208="Não","Perdido",IF(N208="Pendente","Pendente",IF(N208="Não precisa no momento","Não Precisa no Momento",IF(L208="Sim","Plano de Tratamento",IF(J208="Não","Não Compareceu",IF(J208="Sim","Compareceu",IF(H208="Não","Perdido",IF(H208="Sim","Consulta Marcada",IF(A208="","","Novo Paciente")))))))))))</f>
        <v/>
      </c>
      <c r="S208" s="4"/>
      <c r="T208" s="10" t="str">
        <f aca="false">IF(A208="","",SUMPRODUCT(($R$2:R208=R208)*($A$2:A208&lt;&gt;"")))</f>
        <v/>
      </c>
      <c r="U208" s="10" t="str">
        <f aca="false">IF(A208="","",R208&amp;"|"&amp;T208)</f>
        <v/>
      </c>
      <c r="V208" s="10" t="str">
        <f aca="false">IF(G208="","",TEXT(G208,"mm/yyyy"))</f>
        <v/>
      </c>
      <c r="W208" s="10" t="str">
        <f aca="false">IF(P208="","",TEXT(P208,"mm/yyyy"))</f>
        <v/>
      </c>
      <c r="X208" s="10" t="str">
        <f aca="false">IF(A208="","",IF(OR(R208="Fechado (Total)",R208="Fechado (Parcial)"),"Fechado|"&amp;SUMPRODUCT((($R$2:R208="Fechado (Total)")+($R$2:R208="Fechado (Parcial)"))*($A$2:A208&lt;&gt;"")),""))</f>
        <v/>
      </c>
      <c r="Y208" s="10" t="str">
        <f aca="false">IF(A208="","",IF(D208="Indicação",SUMPRODUCT(($D$2:D208="Indicação")*($A$2:A208&lt;&gt;"")),""))</f>
        <v/>
      </c>
      <c r="Z208" s="10" t="str">
        <f aca="false">IF(Y208="","","Indicacao|"&amp;Y208)</f>
        <v/>
      </c>
      <c r="AA208" s="10" t="str">
        <f aca="false">IF(I208="","",TEXT(I208,"mm/yyyy"))</f>
        <v/>
      </c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8"/>
      <c r="H209" s="6"/>
      <c r="I209" s="8"/>
      <c r="J209" s="6"/>
      <c r="K209" s="6"/>
      <c r="L209" s="6"/>
      <c r="M209" s="7"/>
      <c r="N209" s="6"/>
      <c r="O209" s="7"/>
      <c r="P209" s="8"/>
      <c r="Q209" s="4"/>
      <c r="R209" s="9" t="str">
        <f aca="false">IF(N209="Sim","Fechado (Total)",IF(N209="Parcial","Fechado (Parcial)",IF(N209="Não","Perdido",IF(N209="Pendente","Pendente",IF(N209="Não precisa no momento","Não Precisa no Momento",IF(L209="Sim","Plano de Tratamento",IF(J209="Não","Não Compareceu",IF(J209="Sim","Compareceu",IF(H209="Não","Perdido",IF(H209="Sim","Consulta Marcada",IF(A209="","","Novo Paciente")))))))))))</f>
        <v/>
      </c>
      <c r="S209" s="4"/>
      <c r="T209" s="10" t="str">
        <f aca="false">IF(A209="","",SUMPRODUCT(($R$2:R209=R209)*($A$2:A209&lt;&gt;"")))</f>
        <v/>
      </c>
      <c r="U209" s="10" t="str">
        <f aca="false">IF(A209="","",R209&amp;"|"&amp;T209)</f>
        <v/>
      </c>
      <c r="V209" s="10" t="str">
        <f aca="false">IF(G209="","",TEXT(G209,"mm/yyyy"))</f>
        <v/>
      </c>
      <c r="W209" s="10" t="str">
        <f aca="false">IF(P209="","",TEXT(P209,"mm/yyyy"))</f>
        <v/>
      </c>
      <c r="X209" s="10" t="str">
        <f aca="false">IF(A209="","",IF(OR(R209="Fechado (Total)",R209="Fechado (Parcial)"),"Fechado|"&amp;SUMPRODUCT((($R$2:R209="Fechado (Total)")+($R$2:R209="Fechado (Parcial)"))*($A$2:A209&lt;&gt;"")),""))</f>
        <v/>
      </c>
      <c r="Y209" s="10" t="str">
        <f aca="false">IF(A209="","",IF(D209="Indicação",SUMPRODUCT(($D$2:D209="Indicação")*($A$2:A209&lt;&gt;"")),""))</f>
        <v/>
      </c>
      <c r="Z209" s="10" t="str">
        <f aca="false">IF(Y209="","","Indicacao|"&amp;Y209)</f>
        <v/>
      </c>
      <c r="AA209" s="10" t="str">
        <f aca="false">IF(I209="","",TEXT(I209,"mm/yyyy"))</f>
        <v/>
      </c>
    </row>
    <row r="210" customFormat="false" ht="15" hidden="false" customHeight="true" outlineLevel="0" collapsed="false">
      <c r="A210" s="4"/>
      <c r="B210" s="4"/>
      <c r="C210" s="4"/>
      <c r="D210" s="4"/>
      <c r="E210" s="4"/>
      <c r="F210" s="4"/>
      <c r="G210" s="8"/>
      <c r="H210" s="6"/>
      <c r="I210" s="8"/>
      <c r="J210" s="6"/>
      <c r="K210" s="6"/>
      <c r="L210" s="6"/>
      <c r="M210" s="7"/>
      <c r="N210" s="6"/>
      <c r="O210" s="7"/>
      <c r="P210" s="8"/>
      <c r="Q210" s="4"/>
      <c r="R210" s="9" t="str">
        <f aca="false">IF(N210="Sim","Fechado (Total)",IF(N210="Parcial","Fechado (Parcial)",IF(N210="Não","Perdido",IF(N210="Pendente","Pendente",IF(N210="Não precisa no momento","Não Precisa no Momento",IF(L210="Sim","Plano de Tratamento",IF(J210="Não","Não Compareceu",IF(J210="Sim","Compareceu",IF(H210="Não","Perdido",IF(H210="Sim","Consulta Marcada",IF(A210="","","Novo Paciente")))))))))))</f>
        <v/>
      </c>
      <c r="S210" s="4"/>
      <c r="T210" s="10" t="str">
        <f aca="false">IF(A210="","",SUMPRODUCT(($R$2:R210=R210)*($A$2:A210&lt;&gt;"")))</f>
        <v/>
      </c>
      <c r="U210" s="10" t="str">
        <f aca="false">IF(A210="","",R210&amp;"|"&amp;T210)</f>
        <v/>
      </c>
      <c r="V210" s="10" t="str">
        <f aca="false">IF(G210="","",TEXT(G210,"mm/yyyy"))</f>
        <v/>
      </c>
      <c r="W210" s="10" t="str">
        <f aca="false">IF(P210="","",TEXT(P210,"mm/yyyy"))</f>
        <v/>
      </c>
      <c r="X210" s="10" t="str">
        <f aca="false">IF(A210="","",IF(OR(R210="Fechado (Total)",R210="Fechado (Parcial)"),"Fechado|"&amp;SUMPRODUCT((($R$2:R210="Fechado (Total)")+($R$2:R210="Fechado (Parcial)"))*($A$2:A210&lt;&gt;"")),""))</f>
        <v/>
      </c>
      <c r="Y210" s="10" t="str">
        <f aca="false">IF(A210="","",IF(D210="Indicação",SUMPRODUCT(($D$2:D210="Indicação")*($A$2:A210&lt;&gt;"")),""))</f>
        <v/>
      </c>
      <c r="Z210" s="10" t="str">
        <f aca="false">IF(Y210="","","Indicacao|"&amp;Y210)</f>
        <v/>
      </c>
      <c r="AA210" s="10" t="str">
        <f aca="false">IF(I210="","",TEXT(I210,"mm/yyyy"))</f>
        <v/>
      </c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8"/>
      <c r="H211" s="6"/>
      <c r="I211" s="8"/>
      <c r="J211" s="6"/>
      <c r="K211" s="6"/>
      <c r="L211" s="6"/>
      <c r="M211" s="7"/>
      <c r="N211" s="6"/>
      <c r="O211" s="7"/>
      <c r="P211" s="8"/>
      <c r="Q211" s="4"/>
      <c r="R211" s="9" t="str">
        <f aca="false">IF(N211="Sim","Fechado (Total)",IF(N211="Parcial","Fechado (Parcial)",IF(N211="Não","Perdido",IF(N211="Pendente","Pendente",IF(N211="Não precisa no momento","Não Precisa no Momento",IF(L211="Sim","Plano de Tratamento",IF(J211="Não","Não Compareceu",IF(J211="Sim","Compareceu",IF(H211="Não","Perdido",IF(H211="Sim","Consulta Marcada",IF(A211="","","Novo Paciente")))))))))))</f>
        <v/>
      </c>
      <c r="S211" s="4"/>
      <c r="T211" s="10" t="str">
        <f aca="false">IF(A211="","",SUMPRODUCT(($R$2:R211=R211)*($A$2:A211&lt;&gt;"")))</f>
        <v/>
      </c>
      <c r="U211" s="10" t="str">
        <f aca="false">IF(A211="","",R211&amp;"|"&amp;T211)</f>
        <v/>
      </c>
      <c r="V211" s="10" t="str">
        <f aca="false">IF(G211="","",TEXT(G211,"mm/yyyy"))</f>
        <v/>
      </c>
      <c r="W211" s="10" t="str">
        <f aca="false">IF(P211="","",TEXT(P211,"mm/yyyy"))</f>
        <v/>
      </c>
      <c r="X211" s="10" t="str">
        <f aca="false">IF(A211="","",IF(OR(R211="Fechado (Total)",R211="Fechado (Parcial)"),"Fechado|"&amp;SUMPRODUCT((($R$2:R211="Fechado (Total)")+($R$2:R211="Fechado (Parcial)"))*($A$2:A211&lt;&gt;"")),""))</f>
        <v/>
      </c>
      <c r="Y211" s="10" t="str">
        <f aca="false">IF(A211="","",IF(D211="Indicação",SUMPRODUCT(($D$2:D211="Indicação")*($A$2:A211&lt;&gt;"")),""))</f>
        <v/>
      </c>
      <c r="Z211" s="10" t="str">
        <f aca="false">IF(Y211="","","Indicacao|"&amp;Y211)</f>
        <v/>
      </c>
      <c r="AA211" s="10" t="str">
        <f aca="false">IF(I211="","",TEXT(I211,"mm/yyyy"))</f>
        <v/>
      </c>
    </row>
    <row r="212" customFormat="false" ht="15" hidden="false" customHeight="true" outlineLevel="0" collapsed="false">
      <c r="A212" s="4"/>
      <c r="B212" s="4"/>
      <c r="C212" s="4"/>
      <c r="D212" s="4"/>
      <c r="E212" s="4"/>
      <c r="F212" s="4"/>
      <c r="G212" s="8"/>
      <c r="H212" s="6"/>
      <c r="I212" s="8"/>
      <c r="J212" s="6"/>
      <c r="K212" s="6"/>
      <c r="L212" s="6"/>
      <c r="M212" s="7"/>
      <c r="N212" s="6"/>
      <c r="O212" s="7"/>
      <c r="P212" s="8"/>
      <c r="Q212" s="4"/>
      <c r="R212" s="9" t="str">
        <f aca="false">IF(N212="Sim","Fechado (Total)",IF(N212="Parcial","Fechado (Parcial)",IF(N212="Não","Perdido",IF(N212="Pendente","Pendente",IF(N212="Não precisa no momento","Não Precisa no Momento",IF(L212="Sim","Plano de Tratamento",IF(J212="Não","Não Compareceu",IF(J212="Sim","Compareceu",IF(H212="Não","Perdido",IF(H212="Sim","Consulta Marcada",IF(A212="","","Novo Paciente")))))))))))</f>
        <v/>
      </c>
      <c r="S212" s="4"/>
      <c r="T212" s="10" t="str">
        <f aca="false">IF(A212="","",SUMPRODUCT(($R$2:R212=R212)*($A$2:A212&lt;&gt;"")))</f>
        <v/>
      </c>
      <c r="U212" s="10" t="str">
        <f aca="false">IF(A212="","",R212&amp;"|"&amp;T212)</f>
        <v/>
      </c>
      <c r="V212" s="10" t="str">
        <f aca="false">IF(G212="","",TEXT(G212,"mm/yyyy"))</f>
        <v/>
      </c>
      <c r="W212" s="10" t="str">
        <f aca="false">IF(P212="","",TEXT(P212,"mm/yyyy"))</f>
        <v/>
      </c>
      <c r="X212" s="10" t="str">
        <f aca="false">IF(A212="","",IF(OR(R212="Fechado (Total)",R212="Fechado (Parcial)"),"Fechado|"&amp;SUMPRODUCT((($R$2:R212="Fechado (Total)")+($R$2:R212="Fechado (Parcial)"))*($A$2:A212&lt;&gt;"")),""))</f>
        <v/>
      </c>
      <c r="Y212" s="10" t="str">
        <f aca="false">IF(A212="","",IF(D212="Indicação",SUMPRODUCT(($D$2:D212="Indicação")*($A$2:A212&lt;&gt;"")),""))</f>
        <v/>
      </c>
      <c r="Z212" s="10" t="str">
        <f aca="false">IF(Y212="","","Indicacao|"&amp;Y212)</f>
        <v/>
      </c>
      <c r="AA212" s="10" t="str">
        <f aca="false">IF(I212="","",TEXT(I212,"mm/yyyy"))</f>
        <v/>
      </c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8"/>
      <c r="H213" s="6"/>
      <c r="I213" s="8"/>
      <c r="J213" s="6"/>
      <c r="K213" s="6"/>
      <c r="L213" s="6"/>
      <c r="M213" s="7"/>
      <c r="N213" s="6"/>
      <c r="O213" s="7"/>
      <c r="P213" s="8"/>
      <c r="Q213" s="4"/>
      <c r="R213" s="9" t="str">
        <f aca="false">IF(N213="Sim","Fechado (Total)",IF(N213="Parcial","Fechado (Parcial)",IF(N213="Não","Perdido",IF(N213="Pendente","Pendente",IF(N213="Não precisa no momento","Não Precisa no Momento",IF(L213="Sim","Plano de Tratamento",IF(J213="Não","Não Compareceu",IF(J213="Sim","Compareceu",IF(H213="Não","Perdido",IF(H213="Sim","Consulta Marcada",IF(A213="","","Novo Paciente")))))))))))</f>
        <v/>
      </c>
      <c r="S213" s="4"/>
      <c r="T213" s="10" t="str">
        <f aca="false">IF(A213="","",SUMPRODUCT(($R$2:R213=R213)*($A$2:A213&lt;&gt;"")))</f>
        <v/>
      </c>
      <c r="U213" s="10" t="str">
        <f aca="false">IF(A213="","",R213&amp;"|"&amp;T213)</f>
        <v/>
      </c>
      <c r="V213" s="10" t="str">
        <f aca="false">IF(G213="","",TEXT(G213,"mm/yyyy"))</f>
        <v/>
      </c>
      <c r="W213" s="10" t="str">
        <f aca="false">IF(P213="","",TEXT(P213,"mm/yyyy"))</f>
        <v/>
      </c>
      <c r="X213" s="10" t="str">
        <f aca="false">IF(A213="","",IF(OR(R213="Fechado (Total)",R213="Fechado (Parcial)"),"Fechado|"&amp;SUMPRODUCT((($R$2:R213="Fechado (Total)")+($R$2:R213="Fechado (Parcial)"))*($A$2:A213&lt;&gt;"")),""))</f>
        <v/>
      </c>
      <c r="Y213" s="10" t="str">
        <f aca="false">IF(A213="","",IF(D213="Indicação",SUMPRODUCT(($D$2:D213="Indicação")*($A$2:A213&lt;&gt;"")),""))</f>
        <v/>
      </c>
      <c r="Z213" s="10" t="str">
        <f aca="false">IF(Y213="","","Indicacao|"&amp;Y213)</f>
        <v/>
      </c>
      <c r="AA213" s="10" t="str">
        <f aca="false">IF(I213="","",TEXT(I213,"mm/yyyy"))</f>
        <v/>
      </c>
    </row>
    <row r="214" customFormat="false" ht="15" hidden="false" customHeight="true" outlineLevel="0" collapsed="false">
      <c r="A214" s="4"/>
      <c r="B214" s="4"/>
      <c r="C214" s="4"/>
      <c r="D214" s="4"/>
      <c r="E214" s="4"/>
      <c r="F214" s="4"/>
      <c r="G214" s="8"/>
      <c r="H214" s="6"/>
      <c r="I214" s="8"/>
      <c r="J214" s="6"/>
      <c r="K214" s="6"/>
      <c r="L214" s="6"/>
      <c r="M214" s="7"/>
      <c r="N214" s="6"/>
      <c r="O214" s="7"/>
      <c r="P214" s="8"/>
      <c r="Q214" s="4"/>
      <c r="R214" s="9" t="str">
        <f aca="false">IF(N214="Sim","Fechado (Total)",IF(N214="Parcial","Fechado (Parcial)",IF(N214="Não","Perdido",IF(N214="Pendente","Pendente",IF(N214="Não precisa no momento","Não Precisa no Momento",IF(L214="Sim","Plano de Tratamento",IF(J214="Não","Não Compareceu",IF(J214="Sim","Compareceu",IF(H214="Não","Perdido",IF(H214="Sim","Consulta Marcada",IF(A214="","","Novo Paciente")))))))))))</f>
        <v/>
      </c>
      <c r="S214" s="4"/>
      <c r="T214" s="10" t="str">
        <f aca="false">IF(A214="","",SUMPRODUCT(($R$2:R214=R214)*($A$2:A214&lt;&gt;"")))</f>
        <v/>
      </c>
      <c r="U214" s="10" t="str">
        <f aca="false">IF(A214="","",R214&amp;"|"&amp;T214)</f>
        <v/>
      </c>
      <c r="V214" s="10" t="str">
        <f aca="false">IF(G214="","",TEXT(G214,"mm/yyyy"))</f>
        <v/>
      </c>
      <c r="W214" s="10" t="str">
        <f aca="false">IF(P214="","",TEXT(P214,"mm/yyyy"))</f>
        <v/>
      </c>
      <c r="X214" s="10" t="str">
        <f aca="false">IF(A214="","",IF(OR(R214="Fechado (Total)",R214="Fechado (Parcial)"),"Fechado|"&amp;SUMPRODUCT((($R$2:R214="Fechado (Total)")+($R$2:R214="Fechado (Parcial)"))*($A$2:A214&lt;&gt;"")),""))</f>
        <v/>
      </c>
      <c r="Y214" s="10" t="str">
        <f aca="false">IF(A214="","",IF(D214="Indicação",SUMPRODUCT(($D$2:D214="Indicação")*($A$2:A214&lt;&gt;"")),""))</f>
        <v/>
      </c>
      <c r="Z214" s="10" t="str">
        <f aca="false">IF(Y214="","","Indicacao|"&amp;Y214)</f>
        <v/>
      </c>
      <c r="AA214" s="10" t="str">
        <f aca="false">IF(I214="","",TEXT(I214,"mm/yyyy"))</f>
        <v/>
      </c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8"/>
      <c r="H215" s="6"/>
      <c r="I215" s="8"/>
      <c r="J215" s="6"/>
      <c r="K215" s="6"/>
      <c r="L215" s="6"/>
      <c r="M215" s="7"/>
      <c r="N215" s="6"/>
      <c r="O215" s="7"/>
      <c r="P215" s="8"/>
      <c r="Q215" s="4"/>
      <c r="R215" s="9" t="str">
        <f aca="false">IF(N215="Sim","Fechado (Total)",IF(N215="Parcial","Fechado (Parcial)",IF(N215="Não","Perdido",IF(N215="Pendente","Pendente",IF(N215="Não precisa no momento","Não Precisa no Momento",IF(L215="Sim","Plano de Tratamento",IF(J215="Não","Não Compareceu",IF(J215="Sim","Compareceu",IF(H215="Não","Perdido",IF(H215="Sim","Consulta Marcada",IF(A215="","","Novo Paciente")))))))))))</f>
        <v/>
      </c>
      <c r="S215" s="4"/>
      <c r="T215" s="10" t="str">
        <f aca="false">IF(A215="","",SUMPRODUCT(($R$2:R215=R215)*($A$2:A215&lt;&gt;"")))</f>
        <v/>
      </c>
      <c r="U215" s="10" t="str">
        <f aca="false">IF(A215="","",R215&amp;"|"&amp;T215)</f>
        <v/>
      </c>
      <c r="V215" s="10" t="str">
        <f aca="false">IF(G215="","",TEXT(G215,"mm/yyyy"))</f>
        <v/>
      </c>
      <c r="W215" s="10" t="str">
        <f aca="false">IF(P215="","",TEXT(P215,"mm/yyyy"))</f>
        <v/>
      </c>
      <c r="X215" s="10" t="str">
        <f aca="false">IF(A215="","",IF(OR(R215="Fechado (Total)",R215="Fechado (Parcial)"),"Fechado|"&amp;SUMPRODUCT((($R$2:R215="Fechado (Total)")+($R$2:R215="Fechado (Parcial)"))*($A$2:A215&lt;&gt;"")),""))</f>
        <v/>
      </c>
      <c r="Y215" s="10" t="str">
        <f aca="false">IF(A215="","",IF(D215="Indicação",SUMPRODUCT(($D$2:D215="Indicação")*($A$2:A215&lt;&gt;"")),""))</f>
        <v/>
      </c>
      <c r="Z215" s="10" t="str">
        <f aca="false">IF(Y215="","","Indicacao|"&amp;Y215)</f>
        <v/>
      </c>
      <c r="AA215" s="10" t="str">
        <f aca="false">IF(I215="","",TEXT(I215,"mm/yyyy"))</f>
        <v/>
      </c>
    </row>
    <row r="216" customFormat="false" ht="15" hidden="false" customHeight="true" outlineLevel="0" collapsed="false">
      <c r="A216" s="4"/>
      <c r="B216" s="4"/>
      <c r="C216" s="4"/>
      <c r="D216" s="4"/>
      <c r="E216" s="4"/>
      <c r="F216" s="4"/>
      <c r="G216" s="8"/>
      <c r="H216" s="6"/>
      <c r="I216" s="8"/>
      <c r="J216" s="6"/>
      <c r="K216" s="6"/>
      <c r="L216" s="6"/>
      <c r="M216" s="7"/>
      <c r="N216" s="6"/>
      <c r="O216" s="7"/>
      <c r="P216" s="8"/>
      <c r="Q216" s="4"/>
      <c r="R216" s="9" t="str">
        <f aca="false">IF(N216="Sim","Fechado (Total)",IF(N216="Parcial","Fechado (Parcial)",IF(N216="Não","Perdido",IF(N216="Pendente","Pendente",IF(N216="Não precisa no momento","Não Precisa no Momento",IF(L216="Sim","Plano de Tratamento",IF(J216="Não","Não Compareceu",IF(J216="Sim","Compareceu",IF(H216="Não","Perdido",IF(H216="Sim","Consulta Marcada",IF(A216="","","Novo Paciente")))))))))))</f>
        <v/>
      </c>
      <c r="S216" s="4"/>
      <c r="T216" s="10" t="str">
        <f aca="false">IF(A216="","",SUMPRODUCT(($R$2:R216=R216)*($A$2:A216&lt;&gt;"")))</f>
        <v/>
      </c>
      <c r="U216" s="10" t="str">
        <f aca="false">IF(A216="","",R216&amp;"|"&amp;T216)</f>
        <v/>
      </c>
      <c r="V216" s="10" t="str">
        <f aca="false">IF(G216="","",TEXT(G216,"mm/yyyy"))</f>
        <v/>
      </c>
      <c r="W216" s="10" t="str">
        <f aca="false">IF(P216="","",TEXT(P216,"mm/yyyy"))</f>
        <v/>
      </c>
      <c r="X216" s="10" t="str">
        <f aca="false">IF(A216="","",IF(OR(R216="Fechado (Total)",R216="Fechado (Parcial)"),"Fechado|"&amp;SUMPRODUCT((($R$2:R216="Fechado (Total)")+($R$2:R216="Fechado (Parcial)"))*($A$2:A216&lt;&gt;"")),""))</f>
        <v/>
      </c>
      <c r="Y216" s="10" t="str">
        <f aca="false">IF(A216="","",IF(D216="Indicação",SUMPRODUCT(($D$2:D216="Indicação")*($A$2:A216&lt;&gt;"")),""))</f>
        <v/>
      </c>
      <c r="Z216" s="10" t="str">
        <f aca="false">IF(Y216="","","Indicacao|"&amp;Y216)</f>
        <v/>
      </c>
      <c r="AA216" s="10" t="str">
        <f aca="false">IF(I216="","",TEXT(I216,"mm/yyyy"))</f>
        <v/>
      </c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8"/>
      <c r="H217" s="6"/>
      <c r="I217" s="8"/>
      <c r="J217" s="6"/>
      <c r="K217" s="6"/>
      <c r="L217" s="6"/>
      <c r="M217" s="7"/>
      <c r="N217" s="6"/>
      <c r="O217" s="7"/>
      <c r="P217" s="8"/>
      <c r="Q217" s="4"/>
      <c r="R217" s="9" t="str">
        <f aca="false">IF(N217="Sim","Fechado (Total)",IF(N217="Parcial","Fechado (Parcial)",IF(N217="Não","Perdido",IF(N217="Pendente","Pendente",IF(N217="Não precisa no momento","Não Precisa no Momento",IF(L217="Sim","Plano de Tratamento",IF(J217="Não","Não Compareceu",IF(J217="Sim","Compareceu",IF(H217="Não","Perdido",IF(H217="Sim","Consulta Marcada",IF(A217="","","Novo Paciente")))))))))))</f>
        <v/>
      </c>
      <c r="S217" s="4"/>
      <c r="T217" s="10" t="str">
        <f aca="false">IF(A217="","",SUMPRODUCT(($R$2:R217=R217)*($A$2:A217&lt;&gt;"")))</f>
        <v/>
      </c>
      <c r="U217" s="10" t="str">
        <f aca="false">IF(A217="","",R217&amp;"|"&amp;T217)</f>
        <v/>
      </c>
      <c r="V217" s="10" t="str">
        <f aca="false">IF(G217="","",TEXT(G217,"mm/yyyy"))</f>
        <v/>
      </c>
      <c r="W217" s="10" t="str">
        <f aca="false">IF(P217="","",TEXT(P217,"mm/yyyy"))</f>
        <v/>
      </c>
      <c r="X217" s="10" t="str">
        <f aca="false">IF(A217="","",IF(OR(R217="Fechado (Total)",R217="Fechado (Parcial)"),"Fechado|"&amp;SUMPRODUCT((($R$2:R217="Fechado (Total)")+($R$2:R217="Fechado (Parcial)"))*($A$2:A217&lt;&gt;"")),""))</f>
        <v/>
      </c>
      <c r="Y217" s="10" t="str">
        <f aca="false">IF(A217="","",IF(D217="Indicação",SUMPRODUCT(($D$2:D217="Indicação")*($A$2:A217&lt;&gt;"")),""))</f>
        <v/>
      </c>
      <c r="Z217" s="10" t="str">
        <f aca="false">IF(Y217="","","Indicacao|"&amp;Y217)</f>
        <v/>
      </c>
      <c r="AA217" s="10" t="str">
        <f aca="false">IF(I217="","",TEXT(I217,"mm/yyyy"))</f>
        <v/>
      </c>
    </row>
    <row r="218" customFormat="false" ht="15" hidden="false" customHeight="true" outlineLevel="0" collapsed="false">
      <c r="A218" s="4"/>
      <c r="B218" s="4"/>
      <c r="C218" s="4"/>
      <c r="D218" s="4"/>
      <c r="E218" s="4"/>
      <c r="F218" s="4"/>
      <c r="G218" s="8"/>
      <c r="H218" s="6"/>
      <c r="I218" s="8"/>
      <c r="J218" s="6"/>
      <c r="K218" s="6"/>
      <c r="L218" s="6"/>
      <c r="M218" s="7"/>
      <c r="N218" s="6"/>
      <c r="O218" s="7"/>
      <c r="P218" s="8"/>
      <c r="Q218" s="4"/>
      <c r="R218" s="9" t="str">
        <f aca="false">IF(N218="Sim","Fechado (Total)",IF(N218="Parcial","Fechado (Parcial)",IF(N218="Não","Perdido",IF(N218="Pendente","Pendente",IF(N218="Não precisa no momento","Não Precisa no Momento",IF(L218="Sim","Plano de Tratamento",IF(J218="Não","Não Compareceu",IF(J218="Sim","Compareceu",IF(H218="Não","Perdido",IF(H218="Sim","Consulta Marcada",IF(A218="","","Novo Paciente")))))))))))</f>
        <v/>
      </c>
      <c r="S218" s="4"/>
      <c r="T218" s="10" t="str">
        <f aca="false">IF(A218="","",SUMPRODUCT(($R$2:R218=R218)*($A$2:A218&lt;&gt;"")))</f>
        <v/>
      </c>
      <c r="U218" s="10" t="str">
        <f aca="false">IF(A218="","",R218&amp;"|"&amp;T218)</f>
        <v/>
      </c>
      <c r="V218" s="10" t="str">
        <f aca="false">IF(G218="","",TEXT(G218,"mm/yyyy"))</f>
        <v/>
      </c>
      <c r="W218" s="10" t="str">
        <f aca="false">IF(P218="","",TEXT(P218,"mm/yyyy"))</f>
        <v/>
      </c>
      <c r="X218" s="10" t="str">
        <f aca="false">IF(A218="","",IF(OR(R218="Fechado (Total)",R218="Fechado (Parcial)"),"Fechado|"&amp;SUMPRODUCT((($R$2:R218="Fechado (Total)")+($R$2:R218="Fechado (Parcial)"))*($A$2:A218&lt;&gt;"")),""))</f>
        <v/>
      </c>
      <c r="Y218" s="10" t="str">
        <f aca="false">IF(A218="","",IF(D218="Indicação",SUMPRODUCT(($D$2:D218="Indicação")*($A$2:A218&lt;&gt;"")),""))</f>
        <v/>
      </c>
      <c r="Z218" s="10" t="str">
        <f aca="false">IF(Y218="","","Indicacao|"&amp;Y218)</f>
        <v/>
      </c>
      <c r="AA218" s="10" t="str">
        <f aca="false">IF(I218="","",TEXT(I218,"mm/yyyy"))</f>
        <v/>
      </c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8"/>
      <c r="H219" s="6"/>
      <c r="I219" s="8"/>
      <c r="J219" s="6"/>
      <c r="K219" s="6"/>
      <c r="L219" s="6"/>
      <c r="M219" s="7"/>
      <c r="N219" s="6"/>
      <c r="O219" s="7"/>
      <c r="P219" s="8"/>
      <c r="Q219" s="4"/>
      <c r="R219" s="9" t="str">
        <f aca="false">IF(N219="Sim","Fechado (Total)",IF(N219="Parcial","Fechado (Parcial)",IF(N219="Não","Perdido",IF(N219="Pendente","Pendente",IF(N219="Não precisa no momento","Não Precisa no Momento",IF(L219="Sim","Plano de Tratamento",IF(J219="Não","Não Compareceu",IF(J219="Sim","Compareceu",IF(H219="Não","Perdido",IF(H219="Sim","Consulta Marcada",IF(A219="","","Novo Paciente")))))))))))</f>
        <v/>
      </c>
      <c r="S219" s="4"/>
      <c r="T219" s="10" t="str">
        <f aca="false">IF(A219="","",SUMPRODUCT(($R$2:R219=R219)*($A$2:A219&lt;&gt;"")))</f>
        <v/>
      </c>
      <c r="U219" s="10" t="str">
        <f aca="false">IF(A219="","",R219&amp;"|"&amp;T219)</f>
        <v/>
      </c>
      <c r="V219" s="10" t="str">
        <f aca="false">IF(G219="","",TEXT(G219,"mm/yyyy"))</f>
        <v/>
      </c>
      <c r="W219" s="10" t="str">
        <f aca="false">IF(P219="","",TEXT(P219,"mm/yyyy"))</f>
        <v/>
      </c>
      <c r="X219" s="10" t="str">
        <f aca="false">IF(A219="","",IF(OR(R219="Fechado (Total)",R219="Fechado (Parcial)"),"Fechado|"&amp;SUMPRODUCT((($R$2:R219="Fechado (Total)")+($R$2:R219="Fechado (Parcial)"))*($A$2:A219&lt;&gt;"")),""))</f>
        <v/>
      </c>
      <c r="Y219" s="10" t="str">
        <f aca="false">IF(A219="","",IF(D219="Indicação",SUMPRODUCT(($D$2:D219="Indicação")*($A$2:A219&lt;&gt;"")),""))</f>
        <v/>
      </c>
      <c r="Z219" s="10" t="str">
        <f aca="false">IF(Y219="","","Indicacao|"&amp;Y219)</f>
        <v/>
      </c>
      <c r="AA219" s="10" t="str">
        <f aca="false">IF(I219="","",TEXT(I219,"mm/yyyy"))</f>
        <v/>
      </c>
    </row>
    <row r="220" customFormat="false" ht="15" hidden="false" customHeight="true" outlineLevel="0" collapsed="false">
      <c r="A220" s="4"/>
      <c r="B220" s="4"/>
      <c r="C220" s="4"/>
      <c r="D220" s="4"/>
      <c r="E220" s="4"/>
      <c r="F220" s="4"/>
      <c r="G220" s="8"/>
      <c r="H220" s="6"/>
      <c r="I220" s="8"/>
      <c r="J220" s="6"/>
      <c r="K220" s="6"/>
      <c r="L220" s="6"/>
      <c r="M220" s="7"/>
      <c r="N220" s="6"/>
      <c r="O220" s="7"/>
      <c r="P220" s="8"/>
      <c r="Q220" s="4"/>
      <c r="R220" s="9" t="str">
        <f aca="false">IF(N220="Sim","Fechado (Total)",IF(N220="Parcial","Fechado (Parcial)",IF(N220="Não","Perdido",IF(N220="Pendente","Pendente",IF(N220="Não precisa no momento","Não Precisa no Momento",IF(L220="Sim","Plano de Tratamento",IF(J220="Não","Não Compareceu",IF(J220="Sim","Compareceu",IF(H220="Não","Perdido",IF(H220="Sim","Consulta Marcada",IF(A220="","","Novo Paciente")))))))))))</f>
        <v/>
      </c>
      <c r="S220" s="4"/>
      <c r="T220" s="10" t="str">
        <f aca="false">IF(A220="","",SUMPRODUCT(($R$2:R220=R220)*($A$2:A220&lt;&gt;"")))</f>
        <v/>
      </c>
      <c r="U220" s="10" t="str">
        <f aca="false">IF(A220="","",R220&amp;"|"&amp;T220)</f>
        <v/>
      </c>
      <c r="V220" s="10" t="str">
        <f aca="false">IF(G220="","",TEXT(G220,"mm/yyyy"))</f>
        <v/>
      </c>
      <c r="W220" s="10" t="str">
        <f aca="false">IF(P220="","",TEXT(P220,"mm/yyyy"))</f>
        <v/>
      </c>
      <c r="X220" s="10" t="str">
        <f aca="false">IF(A220="","",IF(OR(R220="Fechado (Total)",R220="Fechado (Parcial)"),"Fechado|"&amp;SUMPRODUCT((($R$2:R220="Fechado (Total)")+($R$2:R220="Fechado (Parcial)"))*($A$2:A220&lt;&gt;"")),""))</f>
        <v/>
      </c>
      <c r="Y220" s="10" t="str">
        <f aca="false">IF(A220="","",IF(D220="Indicação",SUMPRODUCT(($D$2:D220="Indicação")*($A$2:A220&lt;&gt;"")),""))</f>
        <v/>
      </c>
      <c r="Z220" s="10" t="str">
        <f aca="false">IF(Y220="","","Indicacao|"&amp;Y220)</f>
        <v/>
      </c>
      <c r="AA220" s="10" t="str">
        <f aca="false">IF(I220="","",TEXT(I220,"mm/yyyy"))</f>
        <v/>
      </c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8"/>
      <c r="H221" s="6"/>
      <c r="I221" s="8"/>
      <c r="J221" s="6"/>
      <c r="K221" s="6"/>
      <c r="L221" s="6"/>
      <c r="M221" s="7"/>
      <c r="N221" s="6"/>
      <c r="O221" s="7"/>
      <c r="P221" s="8"/>
      <c r="Q221" s="4"/>
      <c r="R221" s="9" t="str">
        <f aca="false">IF(N221="Sim","Fechado (Total)",IF(N221="Parcial","Fechado (Parcial)",IF(N221="Não","Perdido",IF(N221="Pendente","Pendente",IF(N221="Não precisa no momento","Não Precisa no Momento",IF(L221="Sim","Plano de Tratamento",IF(J221="Não","Não Compareceu",IF(J221="Sim","Compareceu",IF(H221="Não","Perdido",IF(H221="Sim","Consulta Marcada",IF(A221="","","Novo Paciente")))))))))))</f>
        <v/>
      </c>
      <c r="S221" s="4"/>
      <c r="T221" s="10" t="str">
        <f aca="false">IF(A221="","",SUMPRODUCT(($R$2:R221=R221)*($A$2:A221&lt;&gt;"")))</f>
        <v/>
      </c>
      <c r="U221" s="10" t="str">
        <f aca="false">IF(A221="","",R221&amp;"|"&amp;T221)</f>
        <v/>
      </c>
      <c r="V221" s="10" t="str">
        <f aca="false">IF(G221="","",TEXT(G221,"mm/yyyy"))</f>
        <v/>
      </c>
      <c r="W221" s="10" t="str">
        <f aca="false">IF(P221="","",TEXT(P221,"mm/yyyy"))</f>
        <v/>
      </c>
      <c r="X221" s="10" t="str">
        <f aca="false">IF(A221="","",IF(OR(R221="Fechado (Total)",R221="Fechado (Parcial)"),"Fechado|"&amp;SUMPRODUCT((($R$2:R221="Fechado (Total)")+($R$2:R221="Fechado (Parcial)"))*($A$2:A221&lt;&gt;"")),""))</f>
        <v/>
      </c>
      <c r="Y221" s="10" t="str">
        <f aca="false">IF(A221="","",IF(D221="Indicação",SUMPRODUCT(($D$2:D221="Indicação")*($A$2:A221&lt;&gt;"")),""))</f>
        <v/>
      </c>
      <c r="Z221" s="10" t="str">
        <f aca="false">IF(Y221="","","Indicacao|"&amp;Y221)</f>
        <v/>
      </c>
      <c r="AA221" s="10" t="str">
        <f aca="false">IF(I221="","",TEXT(I221,"mm/yyyy"))</f>
        <v/>
      </c>
    </row>
    <row r="222" customFormat="false" ht="15" hidden="false" customHeight="true" outlineLevel="0" collapsed="false">
      <c r="A222" s="4"/>
      <c r="B222" s="4"/>
      <c r="C222" s="4"/>
      <c r="D222" s="4"/>
      <c r="E222" s="4"/>
      <c r="F222" s="4"/>
      <c r="G222" s="8"/>
      <c r="H222" s="6"/>
      <c r="I222" s="8"/>
      <c r="J222" s="6"/>
      <c r="K222" s="6"/>
      <c r="L222" s="6"/>
      <c r="M222" s="7"/>
      <c r="N222" s="6"/>
      <c r="O222" s="7"/>
      <c r="P222" s="8"/>
      <c r="Q222" s="4"/>
      <c r="R222" s="9" t="str">
        <f aca="false">IF(N222="Sim","Fechado (Total)",IF(N222="Parcial","Fechado (Parcial)",IF(N222="Não","Perdido",IF(N222="Pendente","Pendente",IF(N222="Não precisa no momento","Não Precisa no Momento",IF(L222="Sim","Plano de Tratamento",IF(J222="Não","Não Compareceu",IF(J222="Sim","Compareceu",IF(H222="Não","Perdido",IF(H222="Sim","Consulta Marcada",IF(A222="","","Novo Paciente")))))))))))</f>
        <v/>
      </c>
      <c r="S222" s="4"/>
      <c r="T222" s="10" t="str">
        <f aca="false">IF(A222="","",SUMPRODUCT(($R$2:R222=R222)*($A$2:A222&lt;&gt;"")))</f>
        <v/>
      </c>
      <c r="U222" s="10" t="str">
        <f aca="false">IF(A222="","",R222&amp;"|"&amp;T222)</f>
        <v/>
      </c>
      <c r="V222" s="10" t="str">
        <f aca="false">IF(G222="","",TEXT(G222,"mm/yyyy"))</f>
        <v/>
      </c>
      <c r="W222" s="10" t="str">
        <f aca="false">IF(P222="","",TEXT(P222,"mm/yyyy"))</f>
        <v/>
      </c>
      <c r="X222" s="10" t="str">
        <f aca="false">IF(A222="","",IF(OR(R222="Fechado (Total)",R222="Fechado (Parcial)"),"Fechado|"&amp;SUMPRODUCT((($R$2:R222="Fechado (Total)")+($R$2:R222="Fechado (Parcial)"))*($A$2:A222&lt;&gt;"")),""))</f>
        <v/>
      </c>
      <c r="Y222" s="10" t="str">
        <f aca="false">IF(A222="","",IF(D222="Indicação",SUMPRODUCT(($D$2:D222="Indicação")*($A$2:A222&lt;&gt;"")),""))</f>
        <v/>
      </c>
      <c r="Z222" s="10" t="str">
        <f aca="false">IF(Y222="","","Indicacao|"&amp;Y222)</f>
        <v/>
      </c>
      <c r="AA222" s="10" t="str">
        <f aca="false">IF(I222="","",TEXT(I222,"mm/yyyy"))</f>
        <v/>
      </c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8"/>
      <c r="H223" s="6"/>
      <c r="I223" s="8"/>
      <c r="J223" s="6"/>
      <c r="K223" s="6"/>
      <c r="L223" s="6"/>
      <c r="M223" s="7"/>
      <c r="N223" s="6"/>
      <c r="O223" s="7"/>
      <c r="P223" s="8"/>
      <c r="Q223" s="4"/>
      <c r="R223" s="9" t="str">
        <f aca="false">IF(N223="Sim","Fechado (Total)",IF(N223="Parcial","Fechado (Parcial)",IF(N223="Não","Perdido",IF(N223="Pendente","Pendente",IF(N223="Não precisa no momento","Não Precisa no Momento",IF(L223="Sim","Plano de Tratamento",IF(J223="Não","Não Compareceu",IF(J223="Sim","Compareceu",IF(H223="Não","Perdido",IF(H223="Sim","Consulta Marcada",IF(A223="","","Novo Paciente")))))))))))</f>
        <v/>
      </c>
      <c r="S223" s="4"/>
      <c r="T223" s="10" t="str">
        <f aca="false">IF(A223="","",SUMPRODUCT(($R$2:R223=R223)*($A$2:A223&lt;&gt;"")))</f>
        <v/>
      </c>
      <c r="U223" s="10" t="str">
        <f aca="false">IF(A223="","",R223&amp;"|"&amp;T223)</f>
        <v/>
      </c>
      <c r="V223" s="10" t="str">
        <f aca="false">IF(G223="","",TEXT(G223,"mm/yyyy"))</f>
        <v/>
      </c>
      <c r="W223" s="10" t="str">
        <f aca="false">IF(P223="","",TEXT(P223,"mm/yyyy"))</f>
        <v/>
      </c>
      <c r="X223" s="10" t="str">
        <f aca="false">IF(A223="","",IF(OR(R223="Fechado (Total)",R223="Fechado (Parcial)"),"Fechado|"&amp;SUMPRODUCT((($R$2:R223="Fechado (Total)")+($R$2:R223="Fechado (Parcial)"))*($A$2:A223&lt;&gt;"")),""))</f>
        <v/>
      </c>
      <c r="Y223" s="10" t="str">
        <f aca="false">IF(A223="","",IF(D223="Indicação",SUMPRODUCT(($D$2:D223="Indicação")*($A$2:A223&lt;&gt;"")),""))</f>
        <v/>
      </c>
      <c r="Z223" s="10" t="str">
        <f aca="false">IF(Y223="","","Indicacao|"&amp;Y223)</f>
        <v/>
      </c>
      <c r="AA223" s="10" t="str">
        <f aca="false">IF(I223="","",TEXT(I223,"mm/yyyy"))</f>
        <v/>
      </c>
    </row>
    <row r="224" customFormat="false" ht="15" hidden="false" customHeight="true" outlineLevel="0" collapsed="false">
      <c r="A224" s="4"/>
      <c r="B224" s="4"/>
      <c r="C224" s="4"/>
      <c r="D224" s="4"/>
      <c r="E224" s="4"/>
      <c r="F224" s="4"/>
      <c r="G224" s="8"/>
      <c r="H224" s="6"/>
      <c r="I224" s="8"/>
      <c r="J224" s="6"/>
      <c r="K224" s="6"/>
      <c r="L224" s="6"/>
      <c r="M224" s="7"/>
      <c r="N224" s="6"/>
      <c r="O224" s="7"/>
      <c r="P224" s="8"/>
      <c r="Q224" s="4"/>
      <c r="R224" s="9" t="str">
        <f aca="false">IF(N224="Sim","Fechado (Total)",IF(N224="Parcial","Fechado (Parcial)",IF(N224="Não","Perdido",IF(N224="Pendente","Pendente",IF(N224="Não precisa no momento","Não Precisa no Momento",IF(L224="Sim","Plano de Tratamento",IF(J224="Não","Não Compareceu",IF(J224="Sim","Compareceu",IF(H224="Não","Perdido",IF(H224="Sim","Consulta Marcada",IF(A224="","","Novo Paciente")))))))))))</f>
        <v/>
      </c>
      <c r="S224" s="4"/>
      <c r="T224" s="10" t="str">
        <f aca="false">IF(A224="","",SUMPRODUCT(($R$2:R224=R224)*($A$2:A224&lt;&gt;"")))</f>
        <v/>
      </c>
      <c r="U224" s="10" t="str">
        <f aca="false">IF(A224="","",R224&amp;"|"&amp;T224)</f>
        <v/>
      </c>
      <c r="V224" s="10" t="str">
        <f aca="false">IF(G224="","",TEXT(G224,"mm/yyyy"))</f>
        <v/>
      </c>
      <c r="W224" s="10" t="str">
        <f aca="false">IF(P224="","",TEXT(P224,"mm/yyyy"))</f>
        <v/>
      </c>
      <c r="X224" s="10" t="str">
        <f aca="false">IF(A224="","",IF(OR(R224="Fechado (Total)",R224="Fechado (Parcial)"),"Fechado|"&amp;SUMPRODUCT((($R$2:R224="Fechado (Total)")+($R$2:R224="Fechado (Parcial)"))*($A$2:A224&lt;&gt;"")),""))</f>
        <v/>
      </c>
      <c r="Y224" s="10" t="str">
        <f aca="false">IF(A224="","",IF(D224="Indicação",SUMPRODUCT(($D$2:D224="Indicação")*($A$2:A224&lt;&gt;"")),""))</f>
        <v/>
      </c>
      <c r="Z224" s="10" t="str">
        <f aca="false">IF(Y224="","","Indicacao|"&amp;Y224)</f>
        <v/>
      </c>
      <c r="AA224" s="10" t="str">
        <f aca="false">IF(I224="","",TEXT(I224,"mm/yyyy"))</f>
        <v/>
      </c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8"/>
      <c r="H225" s="6"/>
      <c r="I225" s="8"/>
      <c r="J225" s="6"/>
      <c r="K225" s="6"/>
      <c r="L225" s="6"/>
      <c r="M225" s="7"/>
      <c r="N225" s="6"/>
      <c r="O225" s="7"/>
      <c r="P225" s="8"/>
      <c r="Q225" s="4"/>
      <c r="R225" s="9" t="str">
        <f aca="false">IF(N225="Sim","Fechado (Total)",IF(N225="Parcial","Fechado (Parcial)",IF(N225="Não","Perdido",IF(N225="Pendente","Pendente",IF(N225="Não precisa no momento","Não Precisa no Momento",IF(L225="Sim","Plano de Tratamento",IF(J225="Não","Não Compareceu",IF(J225="Sim","Compareceu",IF(H225="Não","Perdido",IF(H225="Sim","Consulta Marcada",IF(A225="","","Novo Paciente")))))))))))</f>
        <v/>
      </c>
      <c r="S225" s="4"/>
      <c r="T225" s="10" t="str">
        <f aca="false">IF(A225="","",SUMPRODUCT(($R$2:R225=R225)*($A$2:A225&lt;&gt;"")))</f>
        <v/>
      </c>
      <c r="U225" s="10" t="str">
        <f aca="false">IF(A225="","",R225&amp;"|"&amp;T225)</f>
        <v/>
      </c>
      <c r="V225" s="10" t="str">
        <f aca="false">IF(G225="","",TEXT(G225,"mm/yyyy"))</f>
        <v/>
      </c>
      <c r="W225" s="10" t="str">
        <f aca="false">IF(P225="","",TEXT(P225,"mm/yyyy"))</f>
        <v/>
      </c>
      <c r="X225" s="10" t="str">
        <f aca="false">IF(A225="","",IF(OR(R225="Fechado (Total)",R225="Fechado (Parcial)"),"Fechado|"&amp;SUMPRODUCT((($R$2:R225="Fechado (Total)")+($R$2:R225="Fechado (Parcial)"))*($A$2:A225&lt;&gt;"")),""))</f>
        <v/>
      </c>
      <c r="Y225" s="10" t="str">
        <f aca="false">IF(A225="","",IF(D225="Indicação",SUMPRODUCT(($D$2:D225="Indicação")*($A$2:A225&lt;&gt;"")),""))</f>
        <v/>
      </c>
      <c r="Z225" s="10" t="str">
        <f aca="false">IF(Y225="","","Indicacao|"&amp;Y225)</f>
        <v/>
      </c>
      <c r="AA225" s="10" t="str">
        <f aca="false">IF(I225="","",TEXT(I225,"mm/yyyy"))</f>
        <v/>
      </c>
    </row>
    <row r="226" customFormat="false" ht="15" hidden="false" customHeight="true" outlineLevel="0" collapsed="false">
      <c r="A226" s="4"/>
      <c r="B226" s="4"/>
      <c r="C226" s="4"/>
      <c r="D226" s="4"/>
      <c r="E226" s="4"/>
      <c r="F226" s="4"/>
      <c r="G226" s="8"/>
      <c r="H226" s="6"/>
      <c r="I226" s="8"/>
      <c r="J226" s="6"/>
      <c r="K226" s="6"/>
      <c r="L226" s="6"/>
      <c r="M226" s="7"/>
      <c r="N226" s="6"/>
      <c r="O226" s="7"/>
      <c r="P226" s="8"/>
      <c r="Q226" s="4"/>
      <c r="R226" s="9" t="str">
        <f aca="false">IF(N226="Sim","Fechado (Total)",IF(N226="Parcial","Fechado (Parcial)",IF(N226="Não","Perdido",IF(N226="Pendente","Pendente",IF(N226="Não precisa no momento","Não Precisa no Momento",IF(L226="Sim","Plano de Tratamento",IF(J226="Não","Não Compareceu",IF(J226="Sim","Compareceu",IF(H226="Não","Perdido",IF(H226="Sim","Consulta Marcada",IF(A226="","","Novo Paciente")))))))))))</f>
        <v/>
      </c>
      <c r="S226" s="4"/>
      <c r="T226" s="10" t="str">
        <f aca="false">IF(A226="","",SUMPRODUCT(($R$2:R226=R226)*($A$2:A226&lt;&gt;"")))</f>
        <v/>
      </c>
      <c r="U226" s="10" t="str">
        <f aca="false">IF(A226="","",R226&amp;"|"&amp;T226)</f>
        <v/>
      </c>
      <c r="V226" s="10" t="str">
        <f aca="false">IF(G226="","",TEXT(G226,"mm/yyyy"))</f>
        <v/>
      </c>
      <c r="W226" s="10" t="str">
        <f aca="false">IF(P226="","",TEXT(P226,"mm/yyyy"))</f>
        <v/>
      </c>
      <c r="X226" s="10" t="str">
        <f aca="false">IF(A226="","",IF(OR(R226="Fechado (Total)",R226="Fechado (Parcial)"),"Fechado|"&amp;SUMPRODUCT((($R$2:R226="Fechado (Total)")+($R$2:R226="Fechado (Parcial)"))*($A$2:A226&lt;&gt;"")),""))</f>
        <v/>
      </c>
      <c r="Y226" s="10" t="str">
        <f aca="false">IF(A226="","",IF(D226="Indicação",SUMPRODUCT(($D$2:D226="Indicação")*($A$2:A226&lt;&gt;"")),""))</f>
        <v/>
      </c>
      <c r="Z226" s="10" t="str">
        <f aca="false">IF(Y226="","","Indicacao|"&amp;Y226)</f>
        <v/>
      </c>
      <c r="AA226" s="10" t="str">
        <f aca="false">IF(I226="","",TEXT(I226,"mm/yyyy"))</f>
        <v/>
      </c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8"/>
      <c r="H227" s="6"/>
      <c r="I227" s="8"/>
      <c r="J227" s="6"/>
      <c r="K227" s="6"/>
      <c r="L227" s="6"/>
      <c r="M227" s="7"/>
      <c r="N227" s="6"/>
      <c r="O227" s="7"/>
      <c r="P227" s="8"/>
      <c r="Q227" s="4"/>
      <c r="R227" s="9" t="str">
        <f aca="false">IF(N227="Sim","Fechado (Total)",IF(N227="Parcial","Fechado (Parcial)",IF(N227="Não","Perdido",IF(N227="Pendente","Pendente",IF(N227="Não precisa no momento","Não Precisa no Momento",IF(L227="Sim","Plano de Tratamento",IF(J227="Não","Não Compareceu",IF(J227="Sim","Compareceu",IF(H227="Não","Perdido",IF(H227="Sim","Consulta Marcada",IF(A227="","","Novo Paciente")))))))))))</f>
        <v/>
      </c>
      <c r="S227" s="4"/>
      <c r="T227" s="10" t="str">
        <f aca="false">IF(A227="","",SUMPRODUCT(($R$2:R227=R227)*($A$2:A227&lt;&gt;"")))</f>
        <v/>
      </c>
      <c r="U227" s="10" t="str">
        <f aca="false">IF(A227="","",R227&amp;"|"&amp;T227)</f>
        <v/>
      </c>
      <c r="V227" s="10" t="str">
        <f aca="false">IF(G227="","",TEXT(G227,"mm/yyyy"))</f>
        <v/>
      </c>
      <c r="W227" s="10" t="str">
        <f aca="false">IF(P227="","",TEXT(P227,"mm/yyyy"))</f>
        <v/>
      </c>
      <c r="X227" s="10" t="str">
        <f aca="false">IF(A227="","",IF(OR(R227="Fechado (Total)",R227="Fechado (Parcial)"),"Fechado|"&amp;SUMPRODUCT((($R$2:R227="Fechado (Total)")+($R$2:R227="Fechado (Parcial)"))*($A$2:A227&lt;&gt;"")),""))</f>
        <v/>
      </c>
      <c r="Y227" s="10" t="str">
        <f aca="false">IF(A227="","",IF(D227="Indicação",SUMPRODUCT(($D$2:D227="Indicação")*($A$2:A227&lt;&gt;"")),""))</f>
        <v/>
      </c>
      <c r="Z227" s="10" t="str">
        <f aca="false">IF(Y227="","","Indicacao|"&amp;Y227)</f>
        <v/>
      </c>
      <c r="AA227" s="10" t="str">
        <f aca="false">IF(I227="","",TEXT(I227,"mm/yyyy"))</f>
        <v/>
      </c>
    </row>
    <row r="228" customFormat="false" ht="15" hidden="false" customHeight="true" outlineLevel="0" collapsed="false">
      <c r="A228" s="4"/>
      <c r="B228" s="4"/>
      <c r="C228" s="4"/>
      <c r="D228" s="4"/>
      <c r="E228" s="4"/>
      <c r="F228" s="4"/>
      <c r="G228" s="8"/>
      <c r="H228" s="6"/>
      <c r="I228" s="8"/>
      <c r="J228" s="6"/>
      <c r="K228" s="6"/>
      <c r="L228" s="6"/>
      <c r="M228" s="7"/>
      <c r="N228" s="6"/>
      <c r="O228" s="7"/>
      <c r="P228" s="8"/>
      <c r="Q228" s="4"/>
      <c r="R228" s="9" t="str">
        <f aca="false">IF(N228="Sim","Fechado (Total)",IF(N228="Parcial","Fechado (Parcial)",IF(N228="Não","Perdido",IF(N228="Pendente","Pendente",IF(N228="Não precisa no momento","Não Precisa no Momento",IF(L228="Sim","Plano de Tratamento",IF(J228="Não","Não Compareceu",IF(J228="Sim","Compareceu",IF(H228="Não","Perdido",IF(H228="Sim","Consulta Marcada",IF(A228="","","Novo Paciente")))))))))))</f>
        <v/>
      </c>
      <c r="S228" s="4"/>
      <c r="T228" s="10" t="str">
        <f aca="false">IF(A228="","",SUMPRODUCT(($R$2:R228=R228)*($A$2:A228&lt;&gt;"")))</f>
        <v/>
      </c>
      <c r="U228" s="10" t="str">
        <f aca="false">IF(A228="","",R228&amp;"|"&amp;T228)</f>
        <v/>
      </c>
      <c r="V228" s="10" t="str">
        <f aca="false">IF(G228="","",TEXT(G228,"mm/yyyy"))</f>
        <v/>
      </c>
      <c r="W228" s="10" t="str">
        <f aca="false">IF(P228="","",TEXT(P228,"mm/yyyy"))</f>
        <v/>
      </c>
      <c r="X228" s="10" t="str">
        <f aca="false">IF(A228="","",IF(OR(R228="Fechado (Total)",R228="Fechado (Parcial)"),"Fechado|"&amp;SUMPRODUCT((($R$2:R228="Fechado (Total)")+($R$2:R228="Fechado (Parcial)"))*($A$2:A228&lt;&gt;"")),""))</f>
        <v/>
      </c>
      <c r="Y228" s="10" t="str">
        <f aca="false">IF(A228="","",IF(D228="Indicação",SUMPRODUCT(($D$2:D228="Indicação")*($A$2:A228&lt;&gt;"")),""))</f>
        <v/>
      </c>
      <c r="Z228" s="10" t="str">
        <f aca="false">IF(Y228="","","Indicacao|"&amp;Y228)</f>
        <v/>
      </c>
      <c r="AA228" s="10" t="str">
        <f aca="false">IF(I228="","",TEXT(I228,"mm/yyyy"))</f>
        <v/>
      </c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8"/>
      <c r="H229" s="6"/>
      <c r="I229" s="8"/>
      <c r="J229" s="6"/>
      <c r="K229" s="6"/>
      <c r="L229" s="6"/>
      <c r="M229" s="7"/>
      <c r="N229" s="6"/>
      <c r="O229" s="7"/>
      <c r="P229" s="8"/>
      <c r="Q229" s="4"/>
      <c r="R229" s="9" t="str">
        <f aca="false">IF(N229="Sim","Fechado (Total)",IF(N229="Parcial","Fechado (Parcial)",IF(N229="Não","Perdido",IF(N229="Pendente","Pendente",IF(N229="Não precisa no momento","Não Precisa no Momento",IF(L229="Sim","Plano de Tratamento",IF(J229="Não","Não Compareceu",IF(J229="Sim","Compareceu",IF(H229="Não","Perdido",IF(H229="Sim","Consulta Marcada",IF(A229="","","Novo Paciente")))))))))))</f>
        <v/>
      </c>
      <c r="S229" s="4"/>
      <c r="T229" s="10" t="str">
        <f aca="false">IF(A229="","",SUMPRODUCT(($R$2:R229=R229)*($A$2:A229&lt;&gt;"")))</f>
        <v/>
      </c>
      <c r="U229" s="10" t="str">
        <f aca="false">IF(A229="","",R229&amp;"|"&amp;T229)</f>
        <v/>
      </c>
      <c r="V229" s="10" t="str">
        <f aca="false">IF(G229="","",TEXT(G229,"mm/yyyy"))</f>
        <v/>
      </c>
      <c r="W229" s="10" t="str">
        <f aca="false">IF(P229="","",TEXT(P229,"mm/yyyy"))</f>
        <v/>
      </c>
      <c r="X229" s="10" t="str">
        <f aca="false">IF(A229="","",IF(OR(R229="Fechado (Total)",R229="Fechado (Parcial)"),"Fechado|"&amp;SUMPRODUCT((($R$2:R229="Fechado (Total)")+($R$2:R229="Fechado (Parcial)"))*($A$2:A229&lt;&gt;"")),""))</f>
        <v/>
      </c>
      <c r="Y229" s="10" t="str">
        <f aca="false">IF(A229="","",IF(D229="Indicação",SUMPRODUCT(($D$2:D229="Indicação")*($A$2:A229&lt;&gt;"")),""))</f>
        <v/>
      </c>
      <c r="Z229" s="10" t="str">
        <f aca="false">IF(Y229="","","Indicacao|"&amp;Y229)</f>
        <v/>
      </c>
      <c r="AA229" s="10" t="str">
        <f aca="false">IF(I229="","",TEXT(I229,"mm/yyyy"))</f>
        <v/>
      </c>
    </row>
    <row r="230" customFormat="false" ht="15" hidden="false" customHeight="true" outlineLevel="0" collapsed="false">
      <c r="A230" s="4"/>
      <c r="B230" s="4"/>
      <c r="C230" s="4"/>
      <c r="D230" s="4"/>
      <c r="E230" s="4"/>
      <c r="F230" s="4"/>
      <c r="G230" s="8"/>
      <c r="H230" s="6"/>
      <c r="I230" s="8"/>
      <c r="J230" s="6"/>
      <c r="K230" s="6"/>
      <c r="L230" s="6"/>
      <c r="M230" s="7"/>
      <c r="N230" s="6"/>
      <c r="O230" s="7"/>
      <c r="P230" s="8"/>
      <c r="Q230" s="4"/>
      <c r="R230" s="9" t="str">
        <f aca="false">IF(N230="Sim","Fechado (Total)",IF(N230="Parcial","Fechado (Parcial)",IF(N230="Não","Perdido",IF(N230="Pendente","Pendente",IF(N230="Não precisa no momento","Não Precisa no Momento",IF(L230="Sim","Plano de Tratamento",IF(J230="Não","Não Compareceu",IF(J230="Sim","Compareceu",IF(H230="Não","Perdido",IF(H230="Sim","Consulta Marcada",IF(A230="","","Novo Paciente")))))))))))</f>
        <v/>
      </c>
      <c r="S230" s="4"/>
      <c r="T230" s="10" t="str">
        <f aca="false">IF(A230="","",SUMPRODUCT(($R$2:R230=R230)*($A$2:A230&lt;&gt;"")))</f>
        <v/>
      </c>
      <c r="U230" s="10" t="str">
        <f aca="false">IF(A230="","",R230&amp;"|"&amp;T230)</f>
        <v/>
      </c>
      <c r="V230" s="10" t="str">
        <f aca="false">IF(G230="","",TEXT(G230,"mm/yyyy"))</f>
        <v/>
      </c>
      <c r="W230" s="10" t="str">
        <f aca="false">IF(P230="","",TEXT(P230,"mm/yyyy"))</f>
        <v/>
      </c>
      <c r="X230" s="10" t="str">
        <f aca="false">IF(A230="","",IF(OR(R230="Fechado (Total)",R230="Fechado (Parcial)"),"Fechado|"&amp;SUMPRODUCT((($R$2:R230="Fechado (Total)")+($R$2:R230="Fechado (Parcial)"))*($A$2:A230&lt;&gt;"")),""))</f>
        <v/>
      </c>
      <c r="Y230" s="10" t="str">
        <f aca="false">IF(A230="","",IF(D230="Indicação",SUMPRODUCT(($D$2:D230="Indicação")*($A$2:A230&lt;&gt;"")),""))</f>
        <v/>
      </c>
      <c r="Z230" s="10" t="str">
        <f aca="false">IF(Y230="","","Indicacao|"&amp;Y230)</f>
        <v/>
      </c>
      <c r="AA230" s="10" t="str">
        <f aca="false">IF(I230="","",TEXT(I230,"mm/yyyy"))</f>
        <v/>
      </c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8"/>
      <c r="H231" s="6"/>
      <c r="I231" s="8"/>
      <c r="J231" s="6"/>
      <c r="K231" s="6"/>
      <c r="L231" s="6"/>
      <c r="M231" s="7"/>
      <c r="N231" s="6"/>
      <c r="O231" s="7"/>
      <c r="P231" s="8"/>
      <c r="Q231" s="4"/>
      <c r="R231" s="9" t="str">
        <f aca="false">IF(N231="Sim","Fechado (Total)",IF(N231="Parcial","Fechado (Parcial)",IF(N231="Não","Perdido",IF(N231="Pendente","Pendente",IF(N231="Não precisa no momento","Não Precisa no Momento",IF(L231="Sim","Plano de Tratamento",IF(J231="Não","Não Compareceu",IF(J231="Sim","Compareceu",IF(H231="Não","Perdido",IF(H231="Sim","Consulta Marcada",IF(A231="","","Novo Paciente")))))))))))</f>
        <v/>
      </c>
      <c r="S231" s="4"/>
      <c r="T231" s="10" t="str">
        <f aca="false">IF(A231="","",SUMPRODUCT(($R$2:R231=R231)*($A$2:A231&lt;&gt;"")))</f>
        <v/>
      </c>
      <c r="U231" s="10" t="str">
        <f aca="false">IF(A231="","",R231&amp;"|"&amp;T231)</f>
        <v/>
      </c>
      <c r="V231" s="10" t="str">
        <f aca="false">IF(G231="","",TEXT(G231,"mm/yyyy"))</f>
        <v/>
      </c>
      <c r="W231" s="10" t="str">
        <f aca="false">IF(P231="","",TEXT(P231,"mm/yyyy"))</f>
        <v/>
      </c>
      <c r="X231" s="10" t="str">
        <f aca="false">IF(A231="","",IF(OR(R231="Fechado (Total)",R231="Fechado (Parcial)"),"Fechado|"&amp;SUMPRODUCT((($R$2:R231="Fechado (Total)")+($R$2:R231="Fechado (Parcial)"))*($A$2:A231&lt;&gt;"")),""))</f>
        <v/>
      </c>
      <c r="Y231" s="10" t="str">
        <f aca="false">IF(A231="","",IF(D231="Indicação",SUMPRODUCT(($D$2:D231="Indicação")*($A$2:A231&lt;&gt;"")),""))</f>
        <v/>
      </c>
      <c r="Z231" s="10" t="str">
        <f aca="false">IF(Y231="","","Indicacao|"&amp;Y231)</f>
        <v/>
      </c>
      <c r="AA231" s="10" t="str">
        <f aca="false">IF(I231="","",TEXT(I231,"mm/yyyy"))</f>
        <v/>
      </c>
    </row>
    <row r="232" customFormat="false" ht="15" hidden="false" customHeight="true" outlineLevel="0" collapsed="false">
      <c r="A232" s="4"/>
      <c r="B232" s="4"/>
      <c r="C232" s="4"/>
      <c r="D232" s="4"/>
      <c r="E232" s="4"/>
      <c r="F232" s="4"/>
      <c r="G232" s="8"/>
      <c r="H232" s="6"/>
      <c r="I232" s="8"/>
      <c r="J232" s="6"/>
      <c r="K232" s="6"/>
      <c r="L232" s="6"/>
      <c r="M232" s="7"/>
      <c r="N232" s="6"/>
      <c r="O232" s="7"/>
      <c r="P232" s="8"/>
      <c r="Q232" s="4"/>
      <c r="R232" s="9" t="str">
        <f aca="false">IF(N232="Sim","Fechado (Total)",IF(N232="Parcial","Fechado (Parcial)",IF(N232="Não","Perdido",IF(N232="Pendente","Pendente",IF(N232="Não precisa no momento","Não Precisa no Momento",IF(L232="Sim","Plano de Tratamento",IF(J232="Não","Não Compareceu",IF(J232="Sim","Compareceu",IF(H232="Não","Perdido",IF(H232="Sim","Consulta Marcada",IF(A232="","","Novo Paciente")))))))))))</f>
        <v/>
      </c>
      <c r="S232" s="4"/>
      <c r="T232" s="10" t="str">
        <f aca="false">IF(A232="","",SUMPRODUCT(($R$2:R232=R232)*($A$2:A232&lt;&gt;"")))</f>
        <v/>
      </c>
      <c r="U232" s="10" t="str">
        <f aca="false">IF(A232="","",R232&amp;"|"&amp;T232)</f>
        <v/>
      </c>
      <c r="V232" s="10" t="str">
        <f aca="false">IF(G232="","",TEXT(G232,"mm/yyyy"))</f>
        <v/>
      </c>
      <c r="W232" s="10" t="str">
        <f aca="false">IF(P232="","",TEXT(P232,"mm/yyyy"))</f>
        <v/>
      </c>
      <c r="X232" s="10" t="str">
        <f aca="false">IF(A232="","",IF(OR(R232="Fechado (Total)",R232="Fechado (Parcial)"),"Fechado|"&amp;SUMPRODUCT((($R$2:R232="Fechado (Total)")+($R$2:R232="Fechado (Parcial)"))*($A$2:A232&lt;&gt;"")),""))</f>
        <v/>
      </c>
      <c r="Y232" s="10" t="str">
        <f aca="false">IF(A232="","",IF(D232="Indicação",SUMPRODUCT(($D$2:D232="Indicação")*($A$2:A232&lt;&gt;"")),""))</f>
        <v/>
      </c>
      <c r="Z232" s="10" t="str">
        <f aca="false">IF(Y232="","","Indicacao|"&amp;Y232)</f>
        <v/>
      </c>
      <c r="AA232" s="10" t="str">
        <f aca="false">IF(I232="","",TEXT(I232,"mm/yyyy"))</f>
        <v/>
      </c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8"/>
      <c r="H233" s="6"/>
      <c r="I233" s="8"/>
      <c r="J233" s="6"/>
      <c r="K233" s="6"/>
      <c r="L233" s="6"/>
      <c r="M233" s="7"/>
      <c r="N233" s="6"/>
      <c r="O233" s="7"/>
      <c r="P233" s="8"/>
      <c r="Q233" s="4"/>
      <c r="R233" s="9" t="str">
        <f aca="false">IF(N233="Sim","Fechado (Total)",IF(N233="Parcial","Fechado (Parcial)",IF(N233="Não","Perdido",IF(N233="Pendente","Pendente",IF(N233="Não precisa no momento","Não Precisa no Momento",IF(L233="Sim","Plano de Tratamento",IF(J233="Não","Não Compareceu",IF(J233="Sim","Compareceu",IF(H233="Não","Perdido",IF(H233="Sim","Consulta Marcada",IF(A233="","","Novo Paciente")))))))))))</f>
        <v/>
      </c>
      <c r="S233" s="4"/>
      <c r="T233" s="10" t="str">
        <f aca="false">IF(A233="","",SUMPRODUCT(($R$2:R233=R233)*($A$2:A233&lt;&gt;"")))</f>
        <v/>
      </c>
      <c r="U233" s="10" t="str">
        <f aca="false">IF(A233="","",R233&amp;"|"&amp;T233)</f>
        <v/>
      </c>
      <c r="V233" s="10" t="str">
        <f aca="false">IF(G233="","",TEXT(G233,"mm/yyyy"))</f>
        <v/>
      </c>
      <c r="W233" s="10" t="str">
        <f aca="false">IF(P233="","",TEXT(P233,"mm/yyyy"))</f>
        <v/>
      </c>
      <c r="X233" s="10" t="str">
        <f aca="false">IF(A233="","",IF(OR(R233="Fechado (Total)",R233="Fechado (Parcial)"),"Fechado|"&amp;SUMPRODUCT((($R$2:R233="Fechado (Total)")+($R$2:R233="Fechado (Parcial)"))*($A$2:A233&lt;&gt;"")),""))</f>
        <v/>
      </c>
      <c r="Y233" s="10" t="str">
        <f aca="false">IF(A233="","",IF(D233="Indicação",SUMPRODUCT(($D$2:D233="Indicação")*($A$2:A233&lt;&gt;"")),""))</f>
        <v/>
      </c>
      <c r="Z233" s="10" t="str">
        <f aca="false">IF(Y233="","","Indicacao|"&amp;Y233)</f>
        <v/>
      </c>
      <c r="AA233" s="10" t="str">
        <f aca="false">IF(I233="","",TEXT(I233,"mm/yyyy"))</f>
        <v/>
      </c>
    </row>
    <row r="234" customFormat="false" ht="15" hidden="false" customHeight="true" outlineLevel="0" collapsed="false">
      <c r="A234" s="4"/>
      <c r="B234" s="4"/>
      <c r="C234" s="4"/>
      <c r="D234" s="4"/>
      <c r="E234" s="4"/>
      <c r="F234" s="4"/>
      <c r="G234" s="8"/>
      <c r="H234" s="6"/>
      <c r="I234" s="8"/>
      <c r="J234" s="6"/>
      <c r="K234" s="6"/>
      <c r="L234" s="6"/>
      <c r="M234" s="7"/>
      <c r="N234" s="6"/>
      <c r="O234" s="7"/>
      <c r="P234" s="8"/>
      <c r="Q234" s="4"/>
      <c r="R234" s="9" t="str">
        <f aca="false">IF(N234="Sim","Fechado (Total)",IF(N234="Parcial","Fechado (Parcial)",IF(N234="Não","Perdido",IF(N234="Pendente","Pendente",IF(N234="Não precisa no momento","Não Precisa no Momento",IF(L234="Sim","Plano de Tratamento",IF(J234="Não","Não Compareceu",IF(J234="Sim","Compareceu",IF(H234="Não","Perdido",IF(H234="Sim","Consulta Marcada",IF(A234="","","Novo Paciente")))))))))))</f>
        <v/>
      </c>
      <c r="S234" s="4"/>
      <c r="T234" s="10" t="str">
        <f aca="false">IF(A234="","",SUMPRODUCT(($R$2:R234=R234)*($A$2:A234&lt;&gt;"")))</f>
        <v/>
      </c>
      <c r="U234" s="10" t="str">
        <f aca="false">IF(A234="","",R234&amp;"|"&amp;T234)</f>
        <v/>
      </c>
      <c r="V234" s="10" t="str">
        <f aca="false">IF(G234="","",TEXT(G234,"mm/yyyy"))</f>
        <v/>
      </c>
      <c r="W234" s="10" t="str">
        <f aca="false">IF(P234="","",TEXT(P234,"mm/yyyy"))</f>
        <v/>
      </c>
      <c r="X234" s="10" t="str">
        <f aca="false">IF(A234="","",IF(OR(R234="Fechado (Total)",R234="Fechado (Parcial)"),"Fechado|"&amp;SUMPRODUCT((($R$2:R234="Fechado (Total)")+($R$2:R234="Fechado (Parcial)"))*($A$2:A234&lt;&gt;"")),""))</f>
        <v/>
      </c>
      <c r="Y234" s="10" t="str">
        <f aca="false">IF(A234="","",IF(D234="Indicação",SUMPRODUCT(($D$2:D234="Indicação")*($A$2:A234&lt;&gt;"")),""))</f>
        <v/>
      </c>
      <c r="Z234" s="10" t="str">
        <f aca="false">IF(Y234="","","Indicacao|"&amp;Y234)</f>
        <v/>
      </c>
      <c r="AA234" s="10" t="str">
        <f aca="false">IF(I234="","",TEXT(I234,"mm/yyyy"))</f>
        <v/>
      </c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8"/>
      <c r="H235" s="6"/>
      <c r="I235" s="8"/>
      <c r="J235" s="6"/>
      <c r="K235" s="6"/>
      <c r="L235" s="6"/>
      <c r="M235" s="7"/>
      <c r="N235" s="6"/>
      <c r="O235" s="7"/>
      <c r="P235" s="8"/>
      <c r="Q235" s="4"/>
      <c r="R235" s="9" t="str">
        <f aca="false">IF(N235="Sim","Fechado (Total)",IF(N235="Parcial","Fechado (Parcial)",IF(N235="Não","Perdido",IF(N235="Pendente","Pendente",IF(N235="Não precisa no momento","Não Precisa no Momento",IF(L235="Sim","Plano de Tratamento",IF(J235="Não","Não Compareceu",IF(J235="Sim","Compareceu",IF(H235="Não","Perdido",IF(H235="Sim","Consulta Marcada",IF(A235="","","Novo Paciente")))))))))))</f>
        <v/>
      </c>
      <c r="S235" s="4"/>
      <c r="T235" s="10" t="str">
        <f aca="false">IF(A235="","",SUMPRODUCT(($R$2:R235=R235)*($A$2:A235&lt;&gt;"")))</f>
        <v/>
      </c>
      <c r="U235" s="10" t="str">
        <f aca="false">IF(A235="","",R235&amp;"|"&amp;T235)</f>
        <v/>
      </c>
      <c r="V235" s="10" t="str">
        <f aca="false">IF(G235="","",TEXT(G235,"mm/yyyy"))</f>
        <v/>
      </c>
      <c r="W235" s="10" t="str">
        <f aca="false">IF(P235="","",TEXT(P235,"mm/yyyy"))</f>
        <v/>
      </c>
      <c r="X235" s="10" t="str">
        <f aca="false">IF(A235="","",IF(OR(R235="Fechado (Total)",R235="Fechado (Parcial)"),"Fechado|"&amp;SUMPRODUCT((($R$2:R235="Fechado (Total)")+($R$2:R235="Fechado (Parcial)"))*($A$2:A235&lt;&gt;"")),""))</f>
        <v/>
      </c>
      <c r="Y235" s="10" t="str">
        <f aca="false">IF(A235="","",IF(D235="Indicação",SUMPRODUCT(($D$2:D235="Indicação")*($A$2:A235&lt;&gt;"")),""))</f>
        <v/>
      </c>
      <c r="Z235" s="10" t="str">
        <f aca="false">IF(Y235="","","Indicacao|"&amp;Y235)</f>
        <v/>
      </c>
      <c r="AA235" s="10" t="str">
        <f aca="false">IF(I235="","",TEXT(I235,"mm/yyyy"))</f>
        <v/>
      </c>
    </row>
    <row r="236" customFormat="false" ht="15" hidden="false" customHeight="true" outlineLevel="0" collapsed="false">
      <c r="A236" s="4"/>
      <c r="B236" s="4"/>
      <c r="C236" s="4"/>
      <c r="D236" s="4"/>
      <c r="E236" s="4"/>
      <c r="F236" s="4"/>
      <c r="G236" s="8"/>
      <c r="H236" s="6"/>
      <c r="I236" s="8"/>
      <c r="J236" s="6"/>
      <c r="K236" s="6"/>
      <c r="L236" s="6"/>
      <c r="M236" s="7"/>
      <c r="N236" s="6"/>
      <c r="O236" s="7"/>
      <c r="P236" s="8"/>
      <c r="Q236" s="4"/>
      <c r="R236" s="9" t="str">
        <f aca="false">IF(N236="Sim","Fechado (Total)",IF(N236="Parcial","Fechado (Parcial)",IF(N236="Não","Perdido",IF(N236="Pendente","Pendente",IF(N236="Não precisa no momento","Não Precisa no Momento",IF(L236="Sim","Plano de Tratamento",IF(J236="Não","Não Compareceu",IF(J236="Sim","Compareceu",IF(H236="Não","Perdido",IF(H236="Sim","Consulta Marcada",IF(A236="","","Novo Paciente")))))))))))</f>
        <v/>
      </c>
      <c r="S236" s="4"/>
      <c r="T236" s="10" t="str">
        <f aca="false">IF(A236="","",SUMPRODUCT(($R$2:R236=R236)*($A$2:A236&lt;&gt;"")))</f>
        <v/>
      </c>
      <c r="U236" s="10" t="str">
        <f aca="false">IF(A236="","",R236&amp;"|"&amp;T236)</f>
        <v/>
      </c>
      <c r="V236" s="10" t="str">
        <f aca="false">IF(G236="","",TEXT(G236,"mm/yyyy"))</f>
        <v/>
      </c>
      <c r="W236" s="10" t="str">
        <f aca="false">IF(P236="","",TEXT(P236,"mm/yyyy"))</f>
        <v/>
      </c>
      <c r="X236" s="10" t="str">
        <f aca="false">IF(A236="","",IF(OR(R236="Fechado (Total)",R236="Fechado (Parcial)"),"Fechado|"&amp;SUMPRODUCT((($R$2:R236="Fechado (Total)")+($R$2:R236="Fechado (Parcial)"))*($A$2:A236&lt;&gt;"")),""))</f>
        <v/>
      </c>
      <c r="Y236" s="10" t="str">
        <f aca="false">IF(A236="","",IF(D236="Indicação",SUMPRODUCT(($D$2:D236="Indicação")*($A$2:A236&lt;&gt;"")),""))</f>
        <v/>
      </c>
      <c r="Z236" s="10" t="str">
        <f aca="false">IF(Y236="","","Indicacao|"&amp;Y236)</f>
        <v/>
      </c>
      <c r="AA236" s="10" t="str">
        <f aca="false">IF(I236="","",TEXT(I236,"mm/yyyy"))</f>
        <v/>
      </c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8"/>
      <c r="H237" s="6"/>
      <c r="I237" s="8"/>
      <c r="J237" s="6"/>
      <c r="K237" s="6"/>
      <c r="L237" s="6"/>
      <c r="M237" s="7"/>
      <c r="N237" s="6"/>
      <c r="O237" s="7"/>
      <c r="P237" s="8"/>
      <c r="Q237" s="4"/>
      <c r="R237" s="9" t="str">
        <f aca="false">IF(N237="Sim","Fechado (Total)",IF(N237="Parcial","Fechado (Parcial)",IF(N237="Não","Perdido",IF(N237="Pendente","Pendente",IF(N237="Não precisa no momento","Não Precisa no Momento",IF(L237="Sim","Plano de Tratamento",IF(J237="Não","Não Compareceu",IF(J237="Sim","Compareceu",IF(H237="Não","Perdido",IF(H237="Sim","Consulta Marcada",IF(A237="","","Novo Paciente")))))))))))</f>
        <v/>
      </c>
      <c r="S237" s="4"/>
      <c r="T237" s="10" t="str">
        <f aca="false">IF(A237="","",SUMPRODUCT(($R$2:R237=R237)*($A$2:A237&lt;&gt;"")))</f>
        <v/>
      </c>
      <c r="U237" s="10" t="str">
        <f aca="false">IF(A237="","",R237&amp;"|"&amp;T237)</f>
        <v/>
      </c>
      <c r="V237" s="10" t="str">
        <f aca="false">IF(G237="","",TEXT(G237,"mm/yyyy"))</f>
        <v/>
      </c>
      <c r="W237" s="10" t="str">
        <f aca="false">IF(P237="","",TEXT(P237,"mm/yyyy"))</f>
        <v/>
      </c>
      <c r="X237" s="10" t="str">
        <f aca="false">IF(A237="","",IF(OR(R237="Fechado (Total)",R237="Fechado (Parcial)"),"Fechado|"&amp;SUMPRODUCT((($R$2:R237="Fechado (Total)")+($R$2:R237="Fechado (Parcial)"))*($A$2:A237&lt;&gt;"")),""))</f>
        <v/>
      </c>
      <c r="Y237" s="10" t="str">
        <f aca="false">IF(A237="","",IF(D237="Indicação",SUMPRODUCT(($D$2:D237="Indicação")*($A$2:A237&lt;&gt;"")),""))</f>
        <v/>
      </c>
      <c r="Z237" s="10" t="str">
        <f aca="false">IF(Y237="","","Indicacao|"&amp;Y237)</f>
        <v/>
      </c>
      <c r="AA237" s="10" t="str">
        <f aca="false">IF(I237="","",TEXT(I237,"mm/yyyy"))</f>
        <v/>
      </c>
    </row>
    <row r="238" customFormat="false" ht="15" hidden="false" customHeight="true" outlineLevel="0" collapsed="false">
      <c r="A238" s="4"/>
      <c r="B238" s="4"/>
      <c r="C238" s="4"/>
      <c r="D238" s="4"/>
      <c r="E238" s="4"/>
      <c r="F238" s="4"/>
      <c r="G238" s="8"/>
      <c r="H238" s="6"/>
      <c r="I238" s="8"/>
      <c r="J238" s="6"/>
      <c r="K238" s="6"/>
      <c r="L238" s="6"/>
      <c r="M238" s="7"/>
      <c r="N238" s="6"/>
      <c r="O238" s="7"/>
      <c r="P238" s="8"/>
      <c r="Q238" s="4"/>
      <c r="R238" s="9" t="str">
        <f aca="false">IF(N238="Sim","Fechado (Total)",IF(N238="Parcial","Fechado (Parcial)",IF(N238="Não","Perdido",IF(N238="Pendente","Pendente",IF(N238="Não precisa no momento","Não Precisa no Momento",IF(L238="Sim","Plano de Tratamento",IF(J238="Não","Não Compareceu",IF(J238="Sim","Compareceu",IF(H238="Não","Perdido",IF(H238="Sim","Consulta Marcada",IF(A238="","","Novo Paciente")))))))))))</f>
        <v/>
      </c>
      <c r="S238" s="4"/>
      <c r="T238" s="10" t="str">
        <f aca="false">IF(A238="","",SUMPRODUCT(($R$2:R238=R238)*($A$2:A238&lt;&gt;"")))</f>
        <v/>
      </c>
      <c r="U238" s="10" t="str">
        <f aca="false">IF(A238="","",R238&amp;"|"&amp;T238)</f>
        <v/>
      </c>
      <c r="V238" s="10" t="str">
        <f aca="false">IF(G238="","",TEXT(G238,"mm/yyyy"))</f>
        <v/>
      </c>
      <c r="W238" s="10" t="str">
        <f aca="false">IF(P238="","",TEXT(P238,"mm/yyyy"))</f>
        <v/>
      </c>
      <c r="X238" s="10" t="str">
        <f aca="false">IF(A238="","",IF(OR(R238="Fechado (Total)",R238="Fechado (Parcial)"),"Fechado|"&amp;SUMPRODUCT((($R$2:R238="Fechado (Total)")+($R$2:R238="Fechado (Parcial)"))*($A$2:A238&lt;&gt;"")),""))</f>
        <v/>
      </c>
      <c r="Y238" s="10" t="str">
        <f aca="false">IF(A238="","",IF(D238="Indicação",SUMPRODUCT(($D$2:D238="Indicação")*($A$2:A238&lt;&gt;"")),""))</f>
        <v/>
      </c>
      <c r="Z238" s="10" t="str">
        <f aca="false">IF(Y238="","","Indicacao|"&amp;Y238)</f>
        <v/>
      </c>
      <c r="AA238" s="10" t="str">
        <f aca="false">IF(I238="","",TEXT(I238,"mm/yyyy"))</f>
        <v/>
      </c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8"/>
      <c r="H239" s="6"/>
      <c r="I239" s="8"/>
      <c r="J239" s="6"/>
      <c r="K239" s="6"/>
      <c r="L239" s="6"/>
      <c r="M239" s="7"/>
      <c r="N239" s="6"/>
      <c r="O239" s="7"/>
      <c r="P239" s="8"/>
      <c r="Q239" s="4"/>
      <c r="R239" s="9" t="str">
        <f aca="false">IF(N239="Sim","Fechado (Total)",IF(N239="Parcial","Fechado (Parcial)",IF(N239="Não","Perdido",IF(N239="Pendente","Pendente",IF(N239="Não precisa no momento","Não Precisa no Momento",IF(L239="Sim","Plano de Tratamento",IF(J239="Não","Não Compareceu",IF(J239="Sim","Compareceu",IF(H239="Não","Perdido",IF(H239="Sim","Consulta Marcada",IF(A239="","","Novo Paciente")))))))))))</f>
        <v/>
      </c>
      <c r="S239" s="4"/>
      <c r="T239" s="10" t="str">
        <f aca="false">IF(A239="","",SUMPRODUCT(($R$2:R239=R239)*($A$2:A239&lt;&gt;"")))</f>
        <v/>
      </c>
      <c r="U239" s="10" t="str">
        <f aca="false">IF(A239="","",R239&amp;"|"&amp;T239)</f>
        <v/>
      </c>
      <c r="V239" s="10" t="str">
        <f aca="false">IF(G239="","",TEXT(G239,"mm/yyyy"))</f>
        <v/>
      </c>
      <c r="W239" s="10" t="str">
        <f aca="false">IF(P239="","",TEXT(P239,"mm/yyyy"))</f>
        <v/>
      </c>
      <c r="X239" s="10" t="str">
        <f aca="false">IF(A239="","",IF(OR(R239="Fechado (Total)",R239="Fechado (Parcial)"),"Fechado|"&amp;SUMPRODUCT((($R$2:R239="Fechado (Total)")+($R$2:R239="Fechado (Parcial)"))*($A$2:A239&lt;&gt;"")),""))</f>
        <v/>
      </c>
      <c r="Y239" s="10" t="str">
        <f aca="false">IF(A239="","",IF(D239="Indicação",SUMPRODUCT(($D$2:D239="Indicação")*($A$2:A239&lt;&gt;"")),""))</f>
        <v/>
      </c>
      <c r="Z239" s="10" t="str">
        <f aca="false">IF(Y239="","","Indicacao|"&amp;Y239)</f>
        <v/>
      </c>
      <c r="AA239" s="10" t="str">
        <f aca="false">IF(I239="","",TEXT(I239,"mm/yyyy"))</f>
        <v/>
      </c>
    </row>
    <row r="240" customFormat="false" ht="15" hidden="false" customHeight="true" outlineLevel="0" collapsed="false">
      <c r="A240" s="4"/>
      <c r="B240" s="4"/>
      <c r="C240" s="4"/>
      <c r="D240" s="4"/>
      <c r="E240" s="4"/>
      <c r="F240" s="4"/>
      <c r="G240" s="8"/>
      <c r="H240" s="6"/>
      <c r="I240" s="8"/>
      <c r="J240" s="6"/>
      <c r="K240" s="6"/>
      <c r="L240" s="6"/>
      <c r="M240" s="7"/>
      <c r="N240" s="6"/>
      <c r="O240" s="7"/>
      <c r="P240" s="8"/>
      <c r="Q240" s="4"/>
      <c r="R240" s="9" t="str">
        <f aca="false">IF(N240="Sim","Fechado (Total)",IF(N240="Parcial","Fechado (Parcial)",IF(N240="Não","Perdido",IF(N240="Pendente","Pendente",IF(N240="Não precisa no momento","Não Precisa no Momento",IF(L240="Sim","Plano de Tratamento",IF(J240="Não","Não Compareceu",IF(J240="Sim","Compareceu",IF(H240="Não","Perdido",IF(H240="Sim","Consulta Marcada",IF(A240="","","Novo Paciente")))))))))))</f>
        <v/>
      </c>
      <c r="S240" s="4"/>
      <c r="T240" s="10" t="str">
        <f aca="false">IF(A240="","",SUMPRODUCT(($R$2:R240=R240)*($A$2:A240&lt;&gt;"")))</f>
        <v/>
      </c>
      <c r="U240" s="10" t="str">
        <f aca="false">IF(A240="","",R240&amp;"|"&amp;T240)</f>
        <v/>
      </c>
      <c r="V240" s="10" t="str">
        <f aca="false">IF(G240="","",TEXT(G240,"mm/yyyy"))</f>
        <v/>
      </c>
      <c r="W240" s="10" t="str">
        <f aca="false">IF(P240="","",TEXT(P240,"mm/yyyy"))</f>
        <v/>
      </c>
      <c r="X240" s="10" t="str">
        <f aca="false">IF(A240="","",IF(OR(R240="Fechado (Total)",R240="Fechado (Parcial)"),"Fechado|"&amp;SUMPRODUCT((($R$2:R240="Fechado (Total)")+($R$2:R240="Fechado (Parcial)"))*($A$2:A240&lt;&gt;"")),""))</f>
        <v/>
      </c>
      <c r="Y240" s="10" t="str">
        <f aca="false">IF(A240="","",IF(D240="Indicação",SUMPRODUCT(($D$2:D240="Indicação")*($A$2:A240&lt;&gt;"")),""))</f>
        <v/>
      </c>
      <c r="Z240" s="10" t="str">
        <f aca="false">IF(Y240="","","Indicacao|"&amp;Y240)</f>
        <v/>
      </c>
      <c r="AA240" s="10" t="str">
        <f aca="false">IF(I240="","",TEXT(I240,"mm/yyyy"))</f>
        <v/>
      </c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8"/>
      <c r="H241" s="6"/>
      <c r="I241" s="8"/>
      <c r="J241" s="6"/>
      <c r="K241" s="6"/>
      <c r="L241" s="6"/>
      <c r="M241" s="7"/>
      <c r="N241" s="6"/>
      <c r="O241" s="7"/>
      <c r="P241" s="8"/>
      <c r="Q241" s="4"/>
      <c r="R241" s="9" t="str">
        <f aca="false">IF(N241="Sim","Fechado (Total)",IF(N241="Parcial","Fechado (Parcial)",IF(N241="Não","Perdido",IF(N241="Pendente","Pendente",IF(N241="Não precisa no momento","Não Precisa no Momento",IF(L241="Sim","Plano de Tratamento",IF(J241="Não","Não Compareceu",IF(J241="Sim","Compareceu",IF(H241="Não","Perdido",IF(H241="Sim","Consulta Marcada",IF(A241="","","Novo Paciente")))))))))))</f>
        <v/>
      </c>
      <c r="S241" s="4"/>
      <c r="T241" s="10" t="str">
        <f aca="false">IF(A241="","",SUMPRODUCT(($R$2:R241=R241)*($A$2:A241&lt;&gt;"")))</f>
        <v/>
      </c>
      <c r="U241" s="10" t="str">
        <f aca="false">IF(A241="","",R241&amp;"|"&amp;T241)</f>
        <v/>
      </c>
      <c r="V241" s="10" t="str">
        <f aca="false">IF(G241="","",TEXT(G241,"mm/yyyy"))</f>
        <v/>
      </c>
      <c r="W241" s="10" t="str">
        <f aca="false">IF(P241="","",TEXT(P241,"mm/yyyy"))</f>
        <v/>
      </c>
      <c r="X241" s="10" t="str">
        <f aca="false">IF(A241="","",IF(OR(R241="Fechado (Total)",R241="Fechado (Parcial)"),"Fechado|"&amp;SUMPRODUCT((($R$2:R241="Fechado (Total)")+($R$2:R241="Fechado (Parcial)"))*($A$2:A241&lt;&gt;"")),""))</f>
        <v/>
      </c>
      <c r="Y241" s="10" t="str">
        <f aca="false">IF(A241="","",IF(D241="Indicação",SUMPRODUCT(($D$2:D241="Indicação")*($A$2:A241&lt;&gt;"")),""))</f>
        <v/>
      </c>
      <c r="Z241" s="10" t="str">
        <f aca="false">IF(Y241="","","Indicacao|"&amp;Y241)</f>
        <v/>
      </c>
      <c r="AA241" s="10" t="str">
        <f aca="false">IF(I241="","",TEXT(I241,"mm/yyyy"))</f>
        <v/>
      </c>
    </row>
    <row r="242" customFormat="false" ht="15" hidden="false" customHeight="true" outlineLevel="0" collapsed="false">
      <c r="A242" s="4"/>
      <c r="B242" s="4"/>
      <c r="C242" s="4"/>
      <c r="D242" s="4"/>
      <c r="E242" s="4"/>
      <c r="F242" s="4"/>
      <c r="G242" s="8"/>
      <c r="H242" s="6"/>
      <c r="I242" s="8"/>
      <c r="J242" s="6"/>
      <c r="K242" s="6"/>
      <c r="L242" s="6"/>
      <c r="M242" s="7"/>
      <c r="N242" s="6"/>
      <c r="O242" s="7"/>
      <c r="P242" s="8"/>
      <c r="Q242" s="4"/>
      <c r="R242" s="9" t="str">
        <f aca="false">IF(N242="Sim","Fechado (Total)",IF(N242="Parcial","Fechado (Parcial)",IF(N242="Não","Perdido",IF(N242="Pendente","Pendente",IF(N242="Não precisa no momento","Não Precisa no Momento",IF(L242="Sim","Plano de Tratamento",IF(J242="Não","Não Compareceu",IF(J242="Sim","Compareceu",IF(H242="Não","Perdido",IF(H242="Sim","Consulta Marcada",IF(A242="","","Novo Paciente")))))))))))</f>
        <v/>
      </c>
      <c r="S242" s="4"/>
      <c r="T242" s="10" t="str">
        <f aca="false">IF(A242="","",SUMPRODUCT(($R$2:R242=R242)*($A$2:A242&lt;&gt;"")))</f>
        <v/>
      </c>
      <c r="U242" s="10" t="str">
        <f aca="false">IF(A242="","",R242&amp;"|"&amp;T242)</f>
        <v/>
      </c>
      <c r="V242" s="10" t="str">
        <f aca="false">IF(G242="","",TEXT(G242,"mm/yyyy"))</f>
        <v/>
      </c>
      <c r="W242" s="10" t="str">
        <f aca="false">IF(P242="","",TEXT(P242,"mm/yyyy"))</f>
        <v/>
      </c>
      <c r="X242" s="10" t="str">
        <f aca="false">IF(A242="","",IF(OR(R242="Fechado (Total)",R242="Fechado (Parcial)"),"Fechado|"&amp;SUMPRODUCT((($R$2:R242="Fechado (Total)")+($R$2:R242="Fechado (Parcial)"))*($A$2:A242&lt;&gt;"")),""))</f>
        <v/>
      </c>
      <c r="Y242" s="10" t="str">
        <f aca="false">IF(A242="","",IF(D242="Indicação",SUMPRODUCT(($D$2:D242="Indicação")*($A$2:A242&lt;&gt;"")),""))</f>
        <v/>
      </c>
      <c r="Z242" s="10" t="str">
        <f aca="false">IF(Y242="","","Indicacao|"&amp;Y242)</f>
        <v/>
      </c>
      <c r="AA242" s="10" t="str">
        <f aca="false">IF(I242="","",TEXT(I242,"mm/yyyy"))</f>
        <v/>
      </c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8"/>
      <c r="H243" s="6"/>
      <c r="I243" s="8"/>
      <c r="J243" s="6"/>
      <c r="K243" s="6"/>
      <c r="L243" s="6"/>
      <c r="M243" s="7"/>
      <c r="N243" s="6"/>
      <c r="O243" s="7"/>
      <c r="P243" s="8"/>
      <c r="Q243" s="4"/>
      <c r="R243" s="9" t="str">
        <f aca="false">IF(N243="Sim","Fechado (Total)",IF(N243="Parcial","Fechado (Parcial)",IF(N243="Não","Perdido",IF(N243="Pendente","Pendente",IF(N243="Não precisa no momento","Não Precisa no Momento",IF(L243="Sim","Plano de Tratamento",IF(J243="Não","Não Compareceu",IF(J243="Sim","Compareceu",IF(H243="Não","Perdido",IF(H243="Sim","Consulta Marcada",IF(A243="","","Novo Paciente")))))))))))</f>
        <v/>
      </c>
      <c r="S243" s="4"/>
      <c r="T243" s="10" t="str">
        <f aca="false">IF(A243="","",SUMPRODUCT(($R$2:R243=R243)*($A$2:A243&lt;&gt;"")))</f>
        <v/>
      </c>
      <c r="U243" s="10" t="str">
        <f aca="false">IF(A243="","",R243&amp;"|"&amp;T243)</f>
        <v/>
      </c>
      <c r="V243" s="10" t="str">
        <f aca="false">IF(G243="","",TEXT(G243,"mm/yyyy"))</f>
        <v/>
      </c>
      <c r="W243" s="10" t="str">
        <f aca="false">IF(P243="","",TEXT(P243,"mm/yyyy"))</f>
        <v/>
      </c>
      <c r="X243" s="10" t="str">
        <f aca="false">IF(A243="","",IF(OR(R243="Fechado (Total)",R243="Fechado (Parcial)"),"Fechado|"&amp;SUMPRODUCT((($R$2:R243="Fechado (Total)")+($R$2:R243="Fechado (Parcial)"))*($A$2:A243&lt;&gt;"")),""))</f>
        <v/>
      </c>
      <c r="Y243" s="10" t="str">
        <f aca="false">IF(A243="","",IF(D243="Indicação",SUMPRODUCT(($D$2:D243="Indicação")*($A$2:A243&lt;&gt;"")),""))</f>
        <v/>
      </c>
      <c r="Z243" s="10" t="str">
        <f aca="false">IF(Y243="","","Indicacao|"&amp;Y243)</f>
        <v/>
      </c>
      <c r="AA243" s="10" t="str">
        <f aca="false">IF(I243="","",TEXT(I243,"mm/yyyy"))</f>
        <v/>
      </c>
    </row>
    <row r="244" customFormat="false" ht="15" hidden="false" customHeight="true" outlineLevel="0" collapsed="false">
      <c r="A244" s="4"/>
      <c r="B244" s="4"/>
      <c r="C244" s="4"/>
      <c r="D244" s="4"/>
      <c r="E244" s="4"/>
      <c r="F244" s="4"/>
      <c r="G244" s="8"/>
      <c r="H244" s="6"/>
      <c r="I244" s="8"/>
      <c r="J244" s="6"/>
      <c r="K244" s="6"/>
      <c r="L244" s="6"/>
      <c r="M244" s="7"/>
      <c r="N244" s="6"/>
      <c r="O244" s="7"/>
      <c r="P244" s="8"/>
      <c r="Q244" s="4"/>
      <c r="R244" s="9" t="str">
        <f aca="false">IF(N244="Sim","Fechado (Total)",IF(N244="Parcial","Fechado (Parcial)",IF(N244="Não","Perdido",IF(N244="Pendente","Pendente",IF(N244="Não precisa no momento","Não Precisa no Momento",IF(L244="Sim","Plano de Tratamento",IF(J244="Não","Não Compareceu",IF(J244="Sim","Compareceu",IF(H244="Não","Perdido",IF(H244="Sim","Consulta Marcada",IF(A244="","","Novo Paciente")))))))))))</f>
        <v/>
      </c>
      <c r="S244" s="4"/>
      <c r="T244" s="10" t="str">
        <f aca="false">IF(A244="","",SUMPRODUCT(($R$2:R244=R244)*($A$2:A244&lt;&gt;"")))</f>
        <v/>
      </c>
      <c r="U244" s="10" t="str">
        <f aca="false">IF(A244="","",R244&amp;"|"&amp;T244)</f>
        <v/>
      </c>
      <c r="V244" s="10" t="str">
        <f aca="false">IF(G244="","",TEXT(G244,"mm/yyyy"))</f>
        <v/>
      </c>
      <c r="W244" s="10" t="str">
        <f aca="false">IF(P244="","",TEXT(P244,"mm/yyyy"))</f>
        <v/>
      </c>
      <c r="X244" s="10" t="str">
        <f aca="false">IF(A244="","",IF(OR(R244="Fechado (Total)",R244="Fechado (Parcial)"),"Fechado|"&amp;SUMPRODUCT((($R$2:R244="Fechado (Total)")+($R$2:R244="Fechado (Parcial)"))*($A$2:A244&lt;&gt;"")),""))</f>
        <v/>
      </c>
      <c r="Y244" s="10" t="str">
        <f aca="false">IF(A244="","",IF(D244="Indicação",SUMPRODUCT(($D$2:D244="Indicação")*($A$2:A244&lt;&gt;"")),""))</f>
        <v/>
      </c>
      <c r="Z244" s="10" t="str">
        <f aca="false">IF(Y244="","","Indicacao|"&amp;Y244)</f>
        <v/>
      </c>
      <c r="AA244" s="10" t="str">
        <f aca="false">IF(I244="","",TEXT(I244,"mm/yyyy"))</f>
        <v/>
      </c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8"/>
      <c r="H245" s="6"/>
      <c r="I245" s="8"/>
      <c r="J245" s="6"/>
      <c r="K245" s="6"/>
      <c r="L245" s="6"/>
      <c r="M245" s="7"/>
      <c r="N245" s="6"/>
      <c r="O245" s="7"/>
      <c r="P245" s="8"/>
      <c r="Q245" s="4"/>
      <c r="R245" s="9" t="str">
        <f aca="false">IF(N245="Sim","Fechado (Total)",IF(N245="Parcial","Fechado (Parcial)",IF(N245="Não","Perdido",IF(N245="Pendente","Pendente",IF(N245="Não precisa no momento","Não Precisa no Momento",IF(L245="Sim","Plano de Tratamento",IF(J245="Não","Não Compareceu",IF(J245="Sim","Compareceu",IF(H245="Não","Perdido",IF(H245="Sim","Consulta Marcada",IF(A245="","","Novo Paciente")))))))))))</f>
        <v/>
      </c>
      <c r="S245" s="4"/>
      <c r="T245" s="10" t="str">
        <f aca="false">IF(A245="","",SUMPRODUCT(($R$2:R245=R245)*($A$2:A245&lt;&gt;"")))</f>
        <v/>
      </c>
      <c r="U245" s="10" t="str">
        <f aca="false">IF(A245="","",R245&amp;"|"&amp;T245)</f>
        <v/>
      </c>
      <c r="V245" s="10" t="str">
        <f aca="false">IF(G245="","",TEXT(G245,"mm/yyyy"))</f>
        <v/>
      </c>
      <c r="W245" s="10" t="str">
        <f aca="false">IF(P245="","",TEXT(P245,"mm/yyyy"))</f>
        <v/>
      </c>
      <c r="X245" s="10" t="str">
        <f aca="false">IF(A245="","",IF(OR(R245="Fechado (Total)",R245="Fechado (Parcial)"),"Fechado|"&amp;SUMPRODUCT((($R$2:R245="Fechado (Total)")+($R$2:R245="Fechado (Parcial)"))*($A$2:A245&lt;&gt;"")),""))</f>
        <v/>
      </c>
      <c r="Y245" s="10" t="str">
        <f aca="false">IF(A245="","",IF(D245="Indicação",SUMPRODUCT(($D$2:D245="Indicação")*($A$2:A245&lt;&gt;"")),""))</f>
        <v/>
      </c>
      <c r="Z245" s="10" t="str">
        <f aca="false">IF(Y245="","","Indicacao|"&amp;Y245)</f>
        <v/>
      </c>
      <c r="AA245" s="10" t="str">
        <f aca="false">IF(I245="","",TEXT(I245,"mm/yyyy"))</f>
        <v/>
      </c>
    </row>
    <row r="246" customFormat="false" ht="15" hidden="false" customHeight="true" outlineLevel="0" collapsed="false">
      <c r="A246" s="4"/>
      <c r="B246" s="4"/>
      <c r="C246" s="4"/>
      <c r="D246" s="4"/>
      <c r="E246" s="4"/>
      <c r="F246" s="4"/>
      <c r="G246" s="8"/>
      <c r="H246" s="6"/>
      <c r="I246" s="8"/>
      <c r="J246" s="6"/>
      <c r="K246" s="6"/>
      <c r="L246" s="6"/>
      <c r="M246" s="7"/>
      <c r="N246" s="6"/>
      <c r="O246" s="7"/>
      <c r="P246" s="8"/>
      <c r="Q246" s="4"/>
      <c r="R246" s="9" t="str">
        <f aca="false">IF(N246="Sim","Fechado (Total)",IF(N246="Parcial","Fechado (Parcial)",IF(N246="Não","Perdido",IF(N246="Pendente","Pendente",IF(N246="Não precisa no momento","Não Precisa no Momento",IF(L246="Sim","Plano de Tratamento",IF(J246="Não","Não Compareceu",IF(J246="Sim","Compareceu",IF(H246="Não","Perdido",IF(H246="Sim","Consulta Marcada",IF(A246="","","Novo Paciente")))))))))))</f>
        <v/>
      </c>
      <c r="S246" s="4"/>
      <c r="T246" s="10" t="str">
        <f aca="false">IF(A246="","",SUMPRODUCT(($R$2:R246=R246)*($A$2:A246&lt;&gt;"")))</f>
        <v/>
      </c>
      <c r="U246" s="10" t="str">
        <f aca="false">IF(A246="","",R246&amp;"|"&amp;T246)</f>
        <v/>
      </c>
      <c r="V246" s="10" t="str">
        <f aca="false">IF(G246="","",TEXT(G246,"mm/yyyy"))</f>
        <v/>
      </c>
      <c r="W246" s="10" t="str">
        <f aca="false">IF(P246="","",TEXT(P246,"mm/yyyy"))</f>
        <v/>
      </c>
      <c r="X246" s="10" t="str">
        <f aca="false">IF(A246="","",IF(OR(R246="Fechado (Total)",R246="Fechado (Parcial)"),"Fechado|"&amp;SUMPRODUCT((($R$2:R246="Fechado (Total)")+($R$2:R246="Fechado (Parcial)"))*($A$2:A246&lt;&gt;"")),""))</f>
        <v/>
      </c>
      <c r="Y246" s="10" t="str">
        <f aca="false">IF(A246="","",IF(D246="Indicação",SUMPRODUCT(($D$2:D246="Indicação")*($A$2:A246&lt;&gt;"")),""))</f>
        <v/>
      </c>
      <c r="Z246" s="10" t="str">
        <f aca="false">IF(Y246="","","Indicacao|"&amp;Y246)</f>
        <v/>
      </c>
      <c r="AA246" s="10" t="str">
        <f aca="false">IF(I246="","",TEXT(I246,"mm/yyyy"))</f>
        <v/>
      </c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8"/>
      <c r="H247" s="6"/>
      <c r="I247" s="8"/>
      <c r="J247" s="6"/>
      <c r="K247" s="6"/>
      <c r="L247" s="6"/>
      <c r="M247" s="7"/>
      <c r="N247" s="6"/>
      <c r="O247" s="7"/>
      <c r="P247" s="8"/>
      <c r="Q247" s="4"/>
      <c r="R247" s="9" t="str">
        <f aca="false">IF(N247="Sim","Fechado (Total)",IF(N247="Parcial","Fechado (Parcial)",IF(N247="Não","Perdido",IF(N247="Pendente","Pendente",IF(N247="Não precisa no momento","Não Precisa no Momento",IF(L247="Sim","Plano de Tratamento",IF(J247="Não","Não Compareceu",IF(J247="Sim","Compareceu",IF(H247="Não","Perdido",IF(H247="Sim","Consulta Marcada",IF(A247="","","Novo Paciente")))))))))))</f>
        <v/>
      </c>
      <c r="S247" s="4"/>
      <c r="T247" s="10" t="str">
        <f aca="false">IF(A247="","",SUMPRODUCT(($R$2:R247=R247)*($A$2:A247&lt;&gt;"")))</f>
        <v/>
      </c>
      <c r="U247" s="10" t="str">
        <f aca="false">IF(A247="","",R247&amp;"|"&amp;T247)</f>
        <v/>
      </c>
      <c r="V247" s="10" t="str">
        <f aca="false">IF(G247="","",TEXT(G247,"mm/yyyy"))</f>
        <v/>
      </c>
      <c r="W247" s="10" t="str">
        <f aca="false">IF(P247="","",TEXT(P247,"mm/yyyy"))</f>
        <v/>
      </c>
      <c r="X247" s="10" t="str">
        <f aca="false">IF(A247="","",IF(OR(R247="Fechado (Total)",R247="Fechado (Parcial)"),"Fechado|"&amp;SUMPRODUCT((($R$2:R247="Fechado (Total)")+($R$2:R247="Fechado (Parcial)"))*($A$2:A247&lt;&gt;"")),""))</f>
        <v/>
      </c>
      <c r="Y247" s="10" t="str">
        <f aca="false">IF(A247="","",IF(D247="Indicação",SUMPRODUCT(($D$2:D247="Indicação")*($A$2:A247&lt;&gt;"")),""))</f>
        <v/>
      </c>
      <c r="Z247" s="10" t="str">
        <f aca="false">IF(Y247="","","Indicacao|"&amp;Y247)</f>
        <v/>
      </c>
      <c r="AA247" s="10" t="str">
        <f aca="false">IF(I247="","",TEXT(I247,"mm/yyyy"))</f>
        <v/>
      </c>
    </row>
    <row r="248" customFormat="false" ht="15" hidden="false" customHeight="true" outlineLevel="0" collapsed="false">
      <c r="A248" s="4"/>
      <c r="B248" s="4"/>
      <c r="C248" s="4"/>
      <c r="D248" s="4"/>
      <c r="E248" s="4"/>
      <c r="F248" s="4"/>
      <c r="G248" s="8"/>
      <c r="H248" s="6"/>
      <c r="I248" s="8"/>
      <c r="J248" s="6"/>
      <c r="K248" s="6"/>
      <c r="L248" s="6"/>
      <c r="M248" s="7"/>
      <c r="N248" s="6"/>
      <c r="O248" s="7"/>
      <c r="P248" s="8"/>
      <c r="Q248" s="4"/>
      <c r="R248" s="9" t="str">
        <f aca="false">IF(N248="Sim","Fechado (Total)",IF(N248="Parcial","Fechado (Parcial)",IF(N248="Não","Perdido",IF(N248="Pendente","Pendente",IF(N248="Não precisa no momento","Não Precisa no Momento",IF(L248="Sim","Plano de Tratamento",IF(J248="Não","Não Compareceu",IF(J248="Sim","Compareceu",IF(H248="Não","Perdido",IF(H248="Sim","Consulta Marcada",IF(A248="","","Novo Paciente")))))))))))</f>
        <v/>
      </c>
      <c r="S248" s="4"/>
      <c r="T248" s="10" t="str">
        <f aca="false">IF(A248="","",SUMPRODUCT(($R$2:R248=R248)*($A$2:A248&lt;&gt;"")))</f>
        <v/>
      </c>
      <c r="U248" s="10" t="str">
        <f aca="false">IF(A248="","",R248&amp;"|"&amp;T248)</f>
        <v/>
      </c>
      <c r="V248" s="10" t="str">
        <f aca="false">IF(G248="","",TEXT(G248,"mm/yyyy"))</f>
        <v/>
      </c>
      <c r="W248" s="10" t="str">
        <f aca="false">IF(P248="","",TEXT(P248,"mm/yyyy"))</f>
        <v/>
      </c>
      <c r="X248" s="10" t="str">
        <f aca="false">IF(A248="","",IF(OR(R248="Fechado (Total)",R248="Fechado (Parcial)"),"Fechado|"&amp;SUMPRODUCT((($R$2:R248="Fechado (Total)")+($R$2:R248="Fechado (Parcial)"))*($A$2:A248&lt;&gt;"")),""))</f>
        <v/>
      </c>
      <c r="Y248" s="10" t="str">
        <f aca="false">IF(A248="","",IF(D248="Indicação",SUMPRODUCT(($D$2:D248="Indicação")*($A$2:A248&lt;&gt;"")),""))</f>
        <v/>
      </c>
      <c r="Z248" s="10" t="str">
        <f aca="false">IF(Y248="","","Indicacao|"&amp;Y248)</f>
        <v/>
      </c>
      <c r="AA248" s="10" t="str">
        <f aca="false">IF(I248="","",TEXT(I248,"mm/yyyy"))</f>
        <v/>
      </c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8"/>
      <c r="H249" s="6"/>
      <c r="I249" s="8"/>
      <c r="J249" s="6"/>
      <c r="K249" s="6"/>
      <c r="L249" s="6"/>
      <c r="M249" s="7"/>
      <c r="N249" s="6"/>
      <c r="O249" s="7"/>
      <c r="P249" s="8"/>
      <c r="Q249" s="4"/>
      <c r="R249" s="9" t="str">
        <f aca="false">IF(N249="Sim","Fechado (Total)",IF(N249="Parcial","Fechado (Parcial)",IF(N249="Não","Perdido",IF(N249="Pendente","Pendente",IF(N249="Não precisa no momento","Não Precisa no Momento",IF(L249="Sim","Plano de Tratamento",IF(J249="Não","Não Compareceu",IF(J249="Sim","Compareceu",IF(H249="Não","Perdido",IF(H249="Sim","Consulta Marcada",IF(A249="","","Novo Paciente")))))))))))</f>
        <v/>
      </c>
      <c r="S249" s="4"/>
      <c r="T249" s="10" t="str">
        <f aca="false">IF(A249="","",SUMPRODUCT(($R$2:R249=R249)*($A$2:A249&lt;&gt;"")))</f>
        <v/>
      </c>
      <c r="U249" s="10" t="str">
        <f aca="false">IF(A249="","",R249&amp;"|"&amp;T249)</f>
        <v/>
      </c>
      <c r="V249" s="10" t="str">
        <f aca="false">IF(G249="","",TEXT(G249,"mm/yyyy"))</f>
        <v/>
      </c>
      <c r="W249" s="10" t="str">
        <f aca="false">IF(P249="","",TEXT(P249,"mm/yyyy"))</f>
        <v/>
      </c>
      <c r="X249" s="10" t="str">
        <f aca="false">IF(A249="","",IF(OR(R249="Fechado (Total)",R249="Fechado (Parcial)"),"Fechado|"&amp;SUMPRODUCT((($R$2:R249="Fechado (Total)")+($R$2:R249="Fechado (Parcial)"))*($A$2:A249&lt;&gt;"")),""))</f>
        <v/>
      </c>
      <c r="Y249" s="10" t="str">
        <f aca="false">IF(A249="","",IF(D249="Indicação",SUMPRODUCT(($D$2:D249="Indicação")*($A$2:A249&lt;&gt;"")),""))</f>
        <v/>
      </c>
      <c r="Z249" s="10" t="str">
        <f aca="false">IF(Y249="","","Indicacao|"&amp;Y249)</f>
        <v/>
      </c>
      <c r="AA249" s="10" t="str">
        <f aca="false">IF(I249="","",TEXT(I249,"mm/yyyy"))</f>
        <v/>
      </c>
    </row>
    <row r="250" customFormat="false" ht="15" hidden="false" customHeight="true" outlineLevel="0" collapsed="false">
      <c r="A250" s="4"/>
      <c r="B250" s="4"/>
      <c r="C250" s="4"/>
      <c r="D250" s="4"/>
      <c r="E250" s="4"/>
      <c r="F250" s="4"/>
      <c r="G250" s="8"/>
      <c r="H250" s="6"/>
      <c r="I250" s="8"/>
      <c r="J250" s="6"/>
      <c r="K250" s="6"/>
      <c r="L250" s="6"/>
      <c r="M250" s="7"/>
      <c r="N250" s="6"/>
      <c r="O250" s="7"/>
      <c r="P250" s="8"/>
      <c r="Q250" s="4"/>
      <c r="R250" s="9" t="str">
        <f aca="false">IF(N250="Sim","Fechado (Total)",IF(N250="Parcial","Fechado (Parcial)",IF(N250="Não","Perdido",IF(N250="Pendente","Pendente",IF(N250="Não precisa no momento","Não Precisa no Momento",IF(L250="Sim","Plano de Tratamento",IF(J250="Não","Não Compareceu",IF(J250="Sim","Compareceu",IF(H250="Não","Perdido",IF(H250="Sim","Consulta Marcada",IF(A250="","","Novo Paciente")))))))))))</f>
        <v/>
      </c>
      <c r="S250" s="4"/>
      <c r="T250" s="10" t="str">
        <f aca="false">IF(A250="","",SUMPRODUCT(($R$2:R250=R250)*($A$2:A250&lt;&gt;"")))</f>
        <v/>
      </c>
      <c r="U250" s="10" t="str">
        <f aca="false">IF(A250="","",R250&amp;"|"&amp;T250)</f>
        <v/>
      </c>
      <c r="V250" s="10" t="str">
        <f aca="false">IF(G250="","",TEXT(G250,"mm/yyyy"))</f>
        <v/>
      </c>
      <c r="W250" s="10" t="str">
        <f aca="false">IF(P250="","",TEXT(P250,"mm/yyyy"))</f>
        <v/>
      </c>
      <c r="X250" s="10" t="str">
        <f aca="false">IF(A250="","",IF(OR(R250="Fechado (Total)",R250="Fechado (Parcial)"),"Fechado|"&amp;SUMPRODUCT((($R$2:R250="Fechado (Total)")+($R$2:R250="Fechado (Parcial)"))*($A$2:A250&lt;&gt;"")),""))</f>
        <v/>
      </c>
      <c r="Y250" s="10" t="str">
        <f aca="false">IF(A250="","",IF(D250="Indicação",SUMPRODUCT(($D$2:D250="Indicação")*($A$2:A250&lt;&gt;"")),""))</f>
        <v/>
      </c>
      <c r="Z250" s="10" t="str">
        <f aca="false">IF(Y250="","","Indicacao|"&amp;Y250)</f>
        <v/>
      </c>
      <c r="AA250" s="10" t="str">
        <f aca="false">IF(I250="","",TEXT(I250,"mm/yyyy"))</f>
        <v/>
      </c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8"/>
      <c r="H251" s="6"/>
      <c r="I251" s="8"/>
      <c r="J251" s="6"/>
      <c r="K251" s="6"/>
      <c r="L251" s="6"/>
      <c r="M251" s="7"/>
      <c r="N251" s="6"/>
      <c r="O251" s="7"/>
      <c r="P251" s="8"/>
      <c r="Q251" s="4"/>
      <c r="R251" s="9" t="str">
        <f aca="false">IF(N251="Sim","Fechado (Total)",IF(N251="Parcial","Fechado (Parcial)",IF(N251="Não","Perdido",IF(N251="Pendente","Pendente",IF(N251="Não precisa no momento","Não Precisa no Momento",IF(L251="Sim","Plano de Tratamento",IF(J251="Não","Não Compareceu",IF(J251="Sim","Compareceu",IF(H251="Não","Perdido",IF(H251="Sim","Consulta Marcada",IF(A251="","","Novo Paciente")))))))))))</f>
        <v/>
      </c>
      <c r="S251" s="4"/>
      <c r="T251" s="10" t="str">
        <f aca="false">IF(A251="","",SUMPRODUCT(($R$2:R251=R251)*($A$2:A251&lt;&gt;"")))</f>
        <v/>
      </c>
      <c r="U251" s="10" t="str">
        <f aca="false">IF(A251="","",R251&amp;"|"&amp;T251)</f>
        <v/>
      </c>
      <c r="V251" s="10" t="str">
        <f aca="false">IF(G251="","",TEXT(G251,"mm/yyyy"))</f>
        <v/>
      </c>
      <c r="W251" s="10" t="str">
        <f aca="false">IF(P251="","",TEXT(P251,"mm/yyyy"))</f>
        <v/>
      </c>
      <c r="X251" s="10" t="str">
        <f aca="false">IF(A251="","",IF(OR(R251="Fechado (Total)",R251="Fechado (Parcial)"),"Fechado|"&amp;SUMPRODUCT((($R$2:R251="Fechado (Total)")+($R$2:R251="Fechado (Parcial)"))*($A$2:A251&lt;&gt;"")),""))</f>
        <v/>
      </c>
      <c r="Y251" s="10" t="str">
        <f aca="false">IF(A251="","",IF(D251="Indicação",SUMPRODUCT(($D$2:D251="Indicação")*($A$2:A251&lt;&gt;"")),""))</f>
        <v/>
      </c>
      <c r="Z251" s="10" t="str">
        <f aca="false">IF(Y251="","","Indicacao|"&amp;Y251)</f>
        <v/>
      </c>
      <c r="AA251" s="10" t="str">
        <f aca="false">IF(I251="","",TEXT(I251,"mm/yyyy"))</f>
        <v/>
      </c>
    </row>
    <row r="252" customFormat="false" ht="15" hidden="false" customHeight="true" outlineLevel="0" collapsed="false">
      <c r="A252" s="4"/>
      <c r="B252" s="4"/>
      <c r="C252" s="4"/>
      <c r="D252" s="4"/>
      <c r="E252" s="4"/>
      <c r="F252" s="4"/>
      <c r="G252" s="8"/>
      <c r="H252" s="6"/>
      <c r="I252" s="8"/>
      <c r="J252" s="6"/>
      <c r="K252" s="6"/>
      <c r="L252" s="6"/>
      <c r="M252" s="7"/>
      <c r="N252" s="6"/>
      <c r="O252" s="7"/>
      <c r="P252" s="8"/>
      <c r="Q252" s="4"/>
      <c r="R252" s="9" t="str">
        <f aca="false">IF(N252="Sim","Fechado (Total)",IF(N252="Parcial","Fechado (Parcial)",IF(N252="Não","Perdido",IF(N252="Pendente","Pendente",IF(N252="Não precisa no momento","Não Precisa no Momento",IF(L252="Sim","Plano de Tratamento",IF(J252="Não","Não Compareceu",IF(J252="Sim","Compareceu",IF(H252="Não","Perdido",IF(H252="Sim","Consulta Marcada",IF(A252="","","Novo Paciente")))))))))))</f>
        <v/>
      </c>
      <c r="S252" s="4"/>
      <c r="T252" s="10" t="str">
        <f aca="false">IF(A252="","",SUMPRODUCT(($R$2:R252=R252)*($A$2:A252&lt;&gt;"")))</f>
        <v/>
      </c>
      <c r="U252" s="10" t="str">
        <f aca="false">IF(A252="","",R252&amp;"|"&amp;T252)</f>
        <v/>
      </c>
      <c r="V252" s="10" t="str">
        <f aca="false">IF(G252="","",TEXT(G252,"mm/yyyy"))</f>
        <v/>
      </c>
      <c r="W252" s="10" t="str">
        <f aca="false">IF(P252="","",TEXT(P252,"mm/yyyy"))</f>
        <v/>
      </c>
      <c r="X252" s="10" t="str">
        <f aca="false">IF(A252="","",IF(OR(R252="Fechado (Total)",R252="Fechado (Parcial)"),"Fechado|"&amp;SUMPRODUCT((($R$2:R252="Fechado (Total)")+($R$2:R252="Fechado (Parcial)"))*($A$2:A252&lt;&gt;"")),""))</f>
        <v/>
      </c>
      <c r="Y252" s="10" t="str">
        <f aca="false">IF(A252="","",IF(D252="Indicação",SUMPRODUCT(($D$2:D252="Indicação")*($A$2:A252&lt;&gt;"")),""))</f>
        <v/>
      </c>
      <c r="Z252" s="10" t="str">
        <f aca="false">IF(Y252="","","Indicacao|"&amp;Y252)</f>
        <v/>
      </c>
      <c r="AA252" s="10" t="str">
        <f aca="false">IF(I252="","",TEXT(I252,"mm/yyyy"))</f>
        <v/>
      </c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8"/>
      <c r="H253" s="6"/>
      <c r="I253" s="8"/>
      <c r="J253" s="6"/>
      <c r="K253" s="6"/>
      <c r="L253" s="6"/>
      <c r="M253" s="7"/>
      <c r="N253" s="6"/>
      <c r="O253" s="7"/>
      <c r="P253" s="8"/>
      <c r="Q253" s="4"/>
      <c r="R253" s="9" t="str">
        <f aca="false">IF(N253="Sim","Fechado (Total)",IF(N253="Parcial","Fechado (Parcial)",IF(N253="Não","Perdido",IF(N253="Pendente","Pendente",IF(N253="Não precisa no momento","Não Precisa no Momento",IF(L253="Sim","Plano de Tratamento",IF(J253="Não","Não Compareceu",IF(J253="Sim","Compareceu",IF(H253="Não","Perdido",IF(H253="Sim","Consulta Marcada",IF(A253="","","Novo Paciente")))))))))))</f>
        <v/>
      </c>
      <c r="S253" s="4"/>
      <c r="T253" s="10" t="str">
        <f aca="false">IF(A253="","",SUMPRODUCT(($R$2:R253=R253)*($A$2:A253&lt;&gt;"")))</f>
        <v/>
      </c>
      <c r="U253" s="10" t="str">
        <f aca="false">IF(A253="","",R253&amp;"|"&amp;T253)</f>
        <v/>
      </c>
      <c r="V253" s="10" t="str">
        <f aca="false">IF(G253="","",TEXT(G253,"mm/yyyy"))</f>
        <v/>
      </c>
      <c r="W253" s="10" t="str">
        <f aca="false">IF(P253="","",TEXT(P253,"mm/yyyy"))</f>
        <v/>
      </c>
      <c r="X253" s="10" t="str">
        <f aca="false">IF(A253="","",IF(OR(R253="Fechado (Total)",R253="Fechado (Parcial)"),"Fechado|"&amp;SUMPRODUCT((($R$2:R253="Fechado (Total)")+($R$2:R253="Fechado (Parcial)"))*($A$2:A253&lt;&gt;"")),""))</f>
        <v/>
      </c>
      <c r="Y253" s="10" t="str">
        <f aca="false">IF(A253="","",IF(D253="Indicação",SUMPRODUCT(($D$2:D253="Indicação")*($A$2:A253&lt;&gt;"")),""))</f>
        <v/>
      </c>
      <c r="Z253" s="10" t="str">
        <f aca="false">IF(Y253="","","Indicacao|"&amp;Y253)</f>
        <v/>
      </c>
      <c r="AA253" s="10" t="str">
        <f aca="false">IF(I253="","",TEXT(I253,"mm/yyyy"))</f>
        <v/>
      </c>
    </row>
    <row r="254" customFormat="false" ht="15" hidden="false" customHeight="true" outlineLevel="0" collapsed="false">
      <c r="A254" s="4"/>
      <c r="B254" s="4"/>
      <c r="C254" s="4"/>
      <c r="D254" s="4"/>
      <c r="E254" s="4"/>
      <c r="F254" s="4"/>
      <c r="G254" s="8"/>
      <c r="H254" s="6"/>
      <c r="I254" s="8"/>
      <c r="J254" s="6"/>
      <c r="K254" s="6"/>
      <c r="L254" s="6"/>
      <c r="M254" s="7"/>
      <c r="N254" s="6"/>
      <c r="O254" s="7"/>
      <c r="P254" s="8"/>
      <c r="Q254" s="4"/>
      <c r="R254" s="9" t="str">
        <f aca="false">IF(N254="Sim","Fechado (Total)",IF(N254="Parcial","Fechado (Parcial)",IF(N254="Não","Perdido",IF(N254="Pendente","Pendente",IF(N254="Não precisa no momento","Não Precisa no Momento",IF(L254="Sim","Plano de Tratamento",IF(J254="Não","Não Compareceu",IF(J254="Sim","Compareceu",IF(H254="Não","Perdido",IF(H254="Sim","Consulta Marcada",IF(A254="","","Novo Paciente")))))))))))</f>
        <v/>
      </c>
      <c r="S254" s="4"/>
      <c r="T254" s="10" t="str">
        <f aca="false">IF(A254="","",SUMPRODUCT(($R$2:R254=R254)*($A$2:A254&lt;&gt;"")))</f>
        <v/>
      </c>
      <c r="U254" s="10" t="str">
        <f aca="false">IF(A254="","",R254&amp;"|"&amp;T254)</f>
        <v/>
      </c>
      <c r="V254" s="10" t="str">
        <f aca="false">IF(G254="","",TEXT(G254,"mm/yyyy"))</f>
        <v/>
      </c>
      <c r="W254" s="10" t="str">
        <f aca="false">IF(P254="","",TEXT(P254,"mm/yyyy"))</f>
        <v/>
      </c>
      <c r="X254" s="10" t="str">
        <f aca="false">IF(A254="","",IF(OR(R254="Fechado (Total)",R254="Fechado (Parcial)"),"Fechado|"&amp;SUMPRODUCT((($R$2:R254="Fechado (Total)")+($R$2:R254="Fechado (Parcial)"))*($A$2:A254&lt;&gt;"")),""))</f>
        <v/>
      </c>
      <c r="Y254" s="10" t="str">
        <f aca="false">IF(A254="","",IF(D254="Indicação",SUMPRODUCT(($D$2:D254="Indicação")*($A$2:A254&lt;&gt;"")),""))</f>
        <v/>
      </c>
      <c r="Z254" s="10" t="str">
        <f aca="false">IF(Y254="","","Indicacao|"&amp;Y254)</f>
        <v/>
      </c>
      <c r="AA254" s="10" t="str">
        <f aca="false">IF(I254="","",TEXT(I254,"mm/yyyy"))</f>
        <v/>
      </c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8"/>
      <c r="H255" s="6"/>
      <c r="I255" s="8"/>
      <c r="J255" s="6"/>
      <c r="K255" s="6"/>
      <c r="L255" s="6"/>
      <c r="M255" s="7"/>
      <c r="N255" s="6"/>
      <c r="O255" s="7"/>
      <c r="P255" s="8"/>
      <c r="Q255" s="4"/>
      <c r="R255" s="9" t="str">
        <f aca="false">IF(N255="Sim","Fechado (Total)",IF(N255="Parcial","Fechado (Parcial)",IF(N255="Não","Perdido",IF(N255="Pendente","Pendente",IF(N255="Não precisa no momento","Não Precisa no Momento",IF(L255="Sim","Plano de Tratamento",IF(J255="Não","Não Compareceu",IF(J255="Sim","Compareceu",IF(H255="Não","Perdido",IF(H255="Sim","Consulta Marcada",IF(A255="","","Novo Paciente")))))))))))</f>
        <v/>
      </c>
      <c r="S255" s="4"/>
      <c r="T255" s="10" t="str">
        <f aca="false">IF(A255="","",SUMPRODUCT(($R$2:R255=R255)*($A$2:A255&lt;&gt;"")))</f>
        <v/>
      </c>
      <c r="U255" s="10" t="str">
        <f aca="false">IF(A255="","",R255&amp;"|"&amp;T255)</f>
        <v/>
      </c>
      <c r="V255" s="10" t="str">
        <f aca="false">IF(G255="","",TEXT(G255,"mm/yyyy"))</f>
        <v/>
      </c>
      <c r="W255" s="10" t="str">
        <f aca="false">IF(P255="","",TEXT(P255,"mm/yyyy"))</f>
        <v/>
      </c>
      <c r="X255" s="10" t="str">
        <f aca="false">IF(A255="","",IF(OR(R255="Fechado (Total)",R255="Fechado (Parcial)"),"Fechado|"&amp;SUMPRODUCT((($R$2:R255="Fechado (Total)")+($R$2:R255="Fechado (Parcial)"))*($A$2:A255&lt;&gt;"")),""))</f>
        <v/>
      </c>
      <c r="Y255" s="10" t="str">
        <f aca="false">IF(A255="","",IF(D255="Indicação",SUMPRODUCT(($D$2:D255="Indicação")*($A$2:A255&lt;&gt;"")),""))</f>
        <v/>
      </c>
      <c r="Z255" s="10" t="str">
        <f aca="false">IF(Y255="","","Indicacao|"&amp;Y255)</f>
        <v/>
      </c>
      <c r="AA255" s="10" t="str">
        <f aca="false">IF(I255="","",TEXT(I255,"mm/yyyy"))</f>
        <v/>
      </c>
    </row>
    <row r="256" customFormat="false" ht="15" hidden="false" customHeight="true" outlineLevel="0" collapsed="false">
      <c r="A256" s="4"/>
      <c r="B256" s="4"/>
      <c r="C256" s="4"/>
      <c r="D256" s="4"/>
      <c r="E256" s="4"/>
      <c r="F256" s="4"/>
      <c r="G256" s="8"/>
      <c r="H256" s="6"/>
      <c r="I256" s="8"/>
      <c r="J256" s="6"/>
      <c r="K256" s="6"/>
      <c r="L256" s="6"/>
      <c r="M256" s="7"/>
      <c r="N256" s="6"/>
      <c r="O256" s="7"/>
      <c r="P256" s="8"/>
      <c r="Q256" s="4"/>
      <c r="R256" s="9" t="str">
        <f aca="false">IF(N256="Sim","Fechado (Total)",IF(N256="Parcial","Fechado (Parcial)",IF(N256="Não","Perdido",IF(N256="Pendente","Pendente",IF(N256="Não precisa no momento","Não Precisa no Momento",IF(L256="Sim","Plano de Tratamento",IF(J256="Não","Não Compareceu",IF(J256="Sim","Compareceu",IF(H256="Não","Perdido",IF(H256="Sim","Consulta Marcada",IF(A256="","","Novo Paciente")))))))))))</f>
        <v/>
      </c>
      <c r="S256" s="4"/>
      <c r="T256" s="10" t="str">
        <f aca="false">IF(A256="","",SUMPRODUCT(($R$2:R256=R256)*($A$2:A256&lt;&gt;"")))</f>
        <v/>
      </c>
      <c r="U256" s="10" t="str">
        <f aca="false">IF(A256="","",R256&amp;"|"&amp;T256)</f>
        <v/>
      </c>
      <c r="V256" s="10" t="str">
        <f aca="false">IF(G256="","",TEXT(G256,"mm/yyyy"))</f>
        <v/>
      </c>
      <c r="W256" s="10" t="str">
        <f aca="false">IF(P256="","",TEXT(P256,"mm/yyyy"))</f>
        <v/>
      </c>
      <c r="X256" s="10" t="str">
        <f aca="false">IF(A256="","",IF(OR(R256="Fechado (Total)",R256="Fechado (Parcial)"),"Fechado|"&amp;SUMPRODUCT((($R$2:R256="Fechado (Total)")+($R$2:R256="Fechado (Parcial)"))*($A$2:A256&lt;&gt;"")),""))</f>
        <v/>
      </c>
      <c r="Y256" s="10" t="str">
        <f aca="false">IF(A256="","",IF(D256="Indicação",SUMPRODUCT(($D$2:D256="Indicação")*($A$2:A256&lt;&gt;"")),""))</f>
        <v/>
      </c>
      <c r="Z256" s="10" t="str">
        <f aca="false">IF(Y256="","","Indicacao|"&amp;Y256)</f>
        <v/>
      </c>
      <c r="AA256" s="10" t="str">
        <f aca="false">IF(I256="","",TEXT(I256,"mm/yyyy"))</f>
        <v/>
      </c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8"/>
      <c r="H257" s="6"/>
      <c r="I257" s="8"/>
      <c r="J257" s="6"/>
      <c r="K257" s="6"/>
      <c r="L257" s="6"/>
      <c r="M257" s="7"/>
      <c r="N257" s="6"/>
      <c r="O257" s="7"/>
      <c r="P257" s="8"/>
      <c r="Q257" s="4"/>
      <c r="R257" s="9" t="str">
        <f aca="false">IF(N257="Sim","Fechado (Total)",IF(N257="Parcial","Fechado (Parcial)",IF(N257="Não","Perdido",IF(N257="Pendente","Pendente",IF(N257="Não precisa no momento","Não Precisa no Momento",IF(L257="Sim","Plano de Tratamento",IF(J257="Não","Não Compareceu",IF(J257="Sim","Compareceu",IF(H257="Não","Perdido",IF(H257="Sim","Consulta Marcada",IF(A257="","","Novo Paciente")))))))))))</f>
        <v/>
      </c>
      <c r="S257" s="4"/>
      <c r="T257" s="10" t="str">
        <f aca="false">IF(A257="","",SUMPRODUCT(($R$2:R257=R257)*($A$2:A257&lt;&gt;"")))</f>
        <v/>
      </c>
      <c r="U257" s="10" t="str">
        <f aca="false">IF(A257="","",R257&amp;"|"&amp;T257)</f>
        <v/>
      </c>
      <c r="V257" s="10" t="str">
        <f aca="false">IF(G257="","",TEXT(G257,"mm/yyyy"))</f>
        <v/>
      </c>
      <c r="W257" s="10" t="str">
        <f aca="false">IF(P257="","",TEXT(P257,"mm/yyyy"))</f>
        <v/>
      </c>
      <c r="X257" s="10" t="str">
        <f aca="false">IF(A257="","",IF(OR(R257="Fechado (Total)",R257="Fechado (Parcial)"),"Fechado|"&amp;SUMPRODUCT((($R$2:R257="Fechado (Total)")+($R$2:R257="Fechado (Parcial)"))*($A$2:A257&lt;&gt;"")),""))</f>
        <v/>
      </c>
      <c r="Y257" s="10" t="str">
        <f aca="false">IF(A257="","",IF(D257="Indicação",SUMPRODUCT(($D$2:D257="Indicação")*($A$2:A257&lt;&gt;"")),""))</f>
        <v/>
      </c>
      <c r="Z257" s="10" t="str">
        <f aca="false">IF(Y257="","","Indicacao|"&amp;Y257)</f>
        <v/>
      </c>
      <c r="AA257" s="10" t="str">
        <f aca="false">IF(I257="","",TEXT(I257,"mm/yyyy"))</f>
        <v/>
      </c>
    </row>
    <row r="258" customFormat="false" ht="15" hidden="false" customHeight="true" outlineLevel="0" collapsed="false">
      <c r="A258" s="4"/>
      <c r="B258" s="4"/>
      <c r="C258" s="4"/>
      <c r="D258" s="4"/>
      <c r="E258" s="4"/>
      <c r="F258" s="4"/>
      <c r="G258" s="8"/>
      <c r="H258" s="6"/>
      <c r="I258" s="8"/>
      <c r="J258" s="6"/>
      <c r="K258" s="6"/>
      <c r="L258" s="6"/>
      <c r="M258" s="7"/>
      <c r="N258" s="6"/>
      <c r="O258" s="7"/>
      <c r="P258" s="8"/>
      <c r="Q258" s="4"/>
      <c r="R258" s="9" t="str">
        <f aca="false">IF(N258="Sim","Fechado (Total)",IF(N258="Parcial","Fechado (Parcial)",IF(N258="Não","Perdido",IF(N258="Pendente","Pendente",IF(N258="Não precisa no momento","Não Precisa no Momento",IF(L258="Sim","Plano de Tratamento",IF(J258="Não","Não Compareceu",IF(J258="Sim","Compareceu",IF(H258="Não","Perdido",IF(H258="Sim","Consulta Marcada",IF(A258="","","Novo Paciente")))))))))))</f>
        <v/>
      </c>
      <c r="S258" s="4"/>
      <c r="T258" s="10" t="str">
        <f aca="false">IF(A258="","",SUMPRODUCT(($R$2:R258=R258)*($A$2:A258&lt;&gt;"")))</f>
        <v/>
      </c>
      <c r="U258" s="10" t="str">
        <f aca="false">IF(A258="","",R258&amp;"|"&amp;T258)</f>
        <v/>
      </c>
      <c r="V258" s="10" t="str">
        <f aca="false">IF(G258="","",TEXT(G258,"mm/yyyy"))</f>
        <v/>
      </c>
      <c r="W258" s="10" t="str">
        <f aca="false">IF(P258="","",TEXT(P258,"mm/yyyy"))</f>
        <v/>
      </c>
      <c r="X258" s="10" t="str">
        <f aca="false">IF(A258="","",IF(OR(R258="Fechado (Total)",R258="Fechado (Parcial)"),"Fechado|"&amp;SUMPRODUCT((($R$2:R258="Fechado (Total)")+($R$2:R258="Fechado (Parcial)"))*($A$2:A258&lt;&gt;"")),""))</f>
        <v/>
      </c>
      <c r="Y258" s="10" t="str">
        <f aca="false">IF(A258="","",IF(D258="Indicação",SUMPRODUCT(($D$2:D258="Indicação")*($A$2:A258&lt;&gt;"")),""))</f>
        <v/>
      </c>
      <c r="Z258" s="10" t="str">
        <f aca="false">IF(Y258="","","Indicacao|"&amp;Y258)</f>
        <v/>
      </c>
      <c r="AA258" s="10" t="str">
        <f aca="false">IF(I258="","",TEXT(I258,"mm/yyyy"))</f>
        <v/>
      </c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8"/>
      <c r="H259" s="6"/>
      <c r="I259" s="8"/>
      <c r="J259" s="6"/>
      <c r="K259" s="6"/>
      <c r="L259" s="6"/>
      <c r="M259" s="7"/>
      <c r="N259" s="6"/>
      <c r="O259" s="7"/>
      <c r="P259" s="8"/>
      <c r="Q259" s="4"/>
      <c r="R259" s="9" t="str">
        <f aca="false">IF(N259="Sim","Fechado (Total)",IF(N259="Parcial","Fechado (Parcial)",IF(N259="Não","Perdido",IF(N259="Pendente","Pendente",IF(N259="Não precisa no momento","Não Precisa no Momento",IF(L259="Sim","Plano de Tratamento",IF(J259="Não","Não Compareceu",IF(J259="Sim","Compareceu",IF(H259="Não","Perdido",IF(H259="Sim","Consulta Marcada",IF(A259="","","Novo Paciente")))))))))))</f>
        <v/>
      </c>
      <c r="S259" s="4"/>
      <c r="T259" s="10" t="str">
        <f aca="false">IF(A259="","",SUMPRODUCT(($R$2:R259=R259)*($A$2:A259&lt;&gt;"")))</f>
        <v/>
      </c>
      <c r="U259" s="10" t="str">
        <f aca="false">IF(A259="","",R259&amp;"|"&amp;T259)</f>
        <v/>
      </c>
      <c r="V259" s="10" t="str">
        <f aca="false">IF(G259="","",TEXT(G259,"mm/yyyy"))</f>
        <v/>
      </c>
      <c r="W259" s="10" t="str">
        <f aca="false">IF(P259="","",TEXT(P259,"mm/yyyy"))</f>
        <v/>
      </c>
      <c r="X259" s="10" t="str">
        <f aca="false">IF(A259="","",IF(OR(R259="Fechado (Total)",R259="Fechado (Parcial)"),"Fechado|"&amp;SUMPRODUCT((($R$2:R259="Fechado (Total)")+($R$2:R259="Fechado (Parcial)"))*($A$2:A259&lt;&gt;"")),""))</f>
        <v/>
      </c>
      <c r="Y259" s="10" t="str">
        <f aca="false">IF(A259="","",IF(D259="Indicação",SUMPRODUCT(($D$2:D259="Indicação")*($A$2:A259&lt;&gt;"")),""))</f>
        <v/>
      </c>
      <c r="Z259" s="10" t="str">
        <f aca="false">IF(Y259="","","Indicacao|"&amp;Y259)</f>
        <v/>
      </c>
      <c r="AA259" s="10" t="str">
        <f aca="false">IF(I259="","",TEXT(I259,"mm/yyyy"))</f>
        <v/>
      </c>
    </row>
    <row r="260" customFormat="false" ht="15" hidden="false" customHeight="true" outlineLevel="0" collapsed="false">
      <c r="A260" s="4"/>
      <c r="B260" s="4"/>
      <c r="C260" s="4"/>
      <c r="D260" s="4"/>
      <c r="E260" s="4"/>
      <c r="F260" s="4"/>
      <c r="G260" s="8"/>
      <c r="H260" s="6"/>
      <c r="I260" s="8"/>
      <c r="J260" s="6"/>
      <c r="K260" s="6"/>
      <c r="L260" s="6"/>
      <c r="M260" s="7"/>
      <c r="N260" s="6"/>
      <c r="O260" s="7"/>
      <c r="P260" s="8"/>
      <c r="Q260" s="4"/>
      <c r="R260" s="9" t="str">
        <f aca="false">IF(N260="Sim","Fechado (Total)",IF(N260="Parcial","Fechado (Parcial)",IF(N260="Não","Perdido",IF(N260="Pendente","Pendente",IF(N260="Não precisa no momento","Não Precisa no Momento",IF(L260="Sim","Plano de Tratamento",IF(J260="Não","Não Compareceu",IF(J260="Sim","Compareceu",IF(H260="Não","Perdido",IF(H260="Sim","Consulta Marcada",IF(A260="","","Novo Paciente")))))))))))</f>
        <v/>
      </c>
      <c r="S260" s="4"/>
      <c r="T260" s="10" t="str">
        <f aca="false">IF(A260="","",SUMPRODUCT(($R$2:R260=R260)*($A$2:A260&lt;&gt;"")))</f>
        <v/>
      </c>
      <c r="U260" s="10" t="str">
        <f aca="false">IF(A260="","",R260&amp;"|"&amp;T260)</f>
        <v/>
      </c>
      <c r="V260" s="10" t="str">
        <f aca="false">IF(G260="","",TEXT(G260,"mm/yyyy"))</f>
        <v/>
      </c>
      <c r="W260" s="10" t="str">
        <f aca="false">IF(P260="","",TEXT(P260,"mm/yyyy"))</f>
        <v/>
      </c>
      <c r="X260" s="10" t="str">
        <f aca="false">IF(A260="","",IF(OR(R260="Fechado (Total)",R260="Fechado (Parcial)"),"Fechado|"&amp;SUMPRODUCT((($R$2:R260="Fechado (Total)")+($R$2:R260="Fechado (Parcial)"))*($A$2:A260&lt;&gt;"")),""))</f>
        <v/>
      </c>
      <c r="Y260" s="10" t="str">
        <f aca="false">IF(A260="","",IF(D260="Indicação",SUMPRODUCT(($D$2:D260="Indicação")*($A$2:A260&lt;&gt;"")),""))</f>
        <v/>
      </c>
      <c r="Z260" s="10" t="str">
        <f aca="false">IF(Y260="","","Indicacao|"&amp;Y260)</f>
        <v/>
      </c>
      <c r="AA260" s="10" t="str">
        <f aca="false">IF(I260="","",TEXT(I260,"mm/yyyy"))</f>
        <v/>
      </c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8"/>
      <c r="H261" s="6"/>
      <c r="I261" s="8"/>
      <c r="J261" s="6"/>
      <c r="K261" s="6"/>
      <c r="L261" s="6"/>
      <c r="M261" s="7"/>
      <c r="N261" s="6"/>
      <c r="O261" s="7"/>
      <c r="P261" s="8"/>
      <c r="Q261" s="4"/>
      <c r="R261" s="9" t="str">
        <f aca="false">IF(N261="Sim","Fechado (Total)",IF(N261="Parcial","Fechado (Parcial)",IF(N261="Não","Perdido",IF(N261="Pendente","Pendente",IF(N261="Não precisa no momento","Não Precisa no Momento",IF(L261="Sim","Plano de Tratamento",IF(J261="Não","Não Compareceu",IF(J261="Sim","Compareceu",IF(H261="Não","Perdido",IF(H261="Sim","Consulta Marcada",IF(A261="","","Novo Paciente")))))))))))</f>
        <v/>
      </c>
      <c r="S261" s="4"/>
      <c r="T261" s="10" t="str">
        <f aca="false">IF(A261="","",SUMPRODUCT(($R$2:R261=R261)*($A$2:A261&lt;&gt;"")))</f>
        <v/>
      </c>
      <c r="U261" s="10" t="str">
        <f aca="false">IF(A261="","",R261&amp;"|"&amp;T261)</f>
        <v/>
      </c>
      <c r="V261" s="10" t="str">
        <f aca="false">IF(G261="","",TEXT(G261,"mm/yyyy"))</f>
        <v/>
      </c>
      <c r="W261" s="10" t="str">
        <f aca="false">IF(P261="","",TEXT(P261,"mm/yyyy"))</f>
        <v/>
      </c>
      <c r="X261" s="10" t="str">
        <f aca="false">IF(A261="","",IF(OR(R261="Fechado (Total)",R261="Fechado (Parcial)"),"Fechado|"&amp;SUMPRODUCT((($R$2:R261="Fechado (Total)")+($R$2:R261="Fechado (Parcial)"))*($A$2:A261&lt;&gt;"")),""))</f>
        <v/>
      </c>
      <c r="Y261" s="10" t="str">
        <f aca="false">IF(A261="","",IF(D261="Indicação",SUMPRODUCT(($D$2:D261="Indicação")*($A$2:A261&lt;&gt;"")),""))</f>
        <v/>
      </c>
      <c r="Z261" s="10" t="str">
        <f aca="false">IF(Y261="","","Indicacao|"&amp;Y261)</f>
        <v/>
      </c>
      <c r="AA261" s="10" t="str">
        <f aca="false">IF(I261="","",TEXT(I261,"mm/yyyy"))</f>
        <v/>
      </c>
    </row>
    <row r="262" customFormat="false" ht="15" hidden="false" customHeight="true" outlineLevel="0" collapsed="false">
      <c r="A262" s="4"/>
      <c r="B262" s="4"/>
      <c r="C262" s="4"/>
      <c r="D262" s="4"/>
      <c r="E262" s="4"/>
      <c r="F262" s="4"/>
      <c r="G262" s="8"/>
      <c r="H262" s="6"/>
      <c r="I262" s="8"/>
      <c r="J262" s="6"/>
      <c r="K262" s="6"/>
      <c r="L262" s="6"/>
      <c r="M262" s="7"/>
      <c r="N262" s="6"/>
      <c r="O262" s="7"/>
      <c r="P262" s="8"/>
      <c r="Q262" s="4"/>
      <c r="R262" s="9" t="str">
        <f aca="false">IF(N262="Sim","Fechado (Total)",IF(N262="Parcial","Fechado (Parcial)",IF(N262="Não","Perdido",IF(N262="Pendente","Pendente",IF(N262="Não precisa no momento","Não Precisa no Momento",IF(L262="Sim","Plano de Tratamento",IF(J262="Não","Não Compareceu",IF(J262="Sim","Compareceu",IF(H262="Não","Perdido",IF(H262="Sim","Consulta Marcada",IF(A262="","","Novo Paciente")))))))))))</f>
        <v/>
      </c>
      <c r="S262" s="4"/>
      <c r="T262" s="10" t="str">
        <f aca="false">IF(A262="","",SUMPRODUCT(($R$2:R262=R262)*($A$2:A262&lt;&gt;"")))</f>
        <v/>
      </c>
      <c r="U262" s="10" t="str">
        <f aca="false">IF(A262="","",R262&amp;"|"&amp;T262)</f>
        <v/>
      </c>
      <c r="V262" s="10" t="str">
        <f aca="false">IF(G262="","",TEXT(G262,"mm/yyyy"))</f>
        <v/>
      </c>
      <c r="W262" s="10" t="str">
        <f aca="false">IF(P262="","",TEXT(P262,"mm/yyyy"))</f>
        <v/>
      </c>
      <c r="X262" s="10" t="str">
        <f aca="false">IF(A262="","",IF(OR(R262="Fechado (Total)",R262="Fechado (Parcial)"),"Fechado|"&amp;SUMPRODUCT((($R$2:R262="Fechado (Total)")+($R$2:R262="Fechado (Parcial)"))*($A$2:A262&lt;&gt;"")),""))</f>
        <v/>
      </c>
      <c r="Y262" s="10" t="str">
        <f aca="false">IF(A262="","",IF(D262="Indicação",SUMPRODUCT(($D$2:D262="Indicação")*($A$2:A262&lt;&gt;"")),""))</f>
        <v/>
      </c>
      <c r="Z262" s="10" t="str">
        <f aca="false">IF(Y262="","","Indicacao|"&amp;Y262)</f>
        <v/>
      </c>
      <c r="AA262" s="10" t="str">
        <f aca="false">IF(I262="","",TEXT(I262,"mm/yyyy"))</f>
        <v/>
      </c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8"/>
      <c r="H263" s="6"/>
      <c r="I263" s="8"/>
      <c r="J263" s="6"/>
      <c r="K263" s="6"/>
      <c r="L263" s="6"/>
      <c r="M263" s="7"/>
      <c r="N263" s="6"/>
      <c r="O263" s="7"/>
      <c r="P263" s="8"/>
      <c r="Q263" s="4"/>
      <c r="R263" s="9" t="str">
        <f aca="false">IF(N263="Sim","Fechado (Total)",IF(N263="Parcial","Fechado (Parcial)",IF(N263="Não","Perdido",IF(N263="Pendente","Pendente",IF(N263="Não precisa no momento","Não Precisa no Momento",IF(L263="Sim","Plano de Tratamento",IF(J263="Não","Não Compareceu",IF(J263="Sim","Compareceu",IF(H263="Não","Perdido",IF(H263="Sim","Consulta Marcada",IF(A263="","","Novo Paciente")))))))))))</f>
        <v/>
      </c>
      <c r="S263" s="4"/>
      <c r="T263" s="10" t="str">
        <f aca="false">IF(A263="","",SUMPRODUCT(($R$2:R263=R263)*($A$2:A263&lt;&gt;"")))</f>
        <v/>
      </c>
      <c r="U263" s="10" t="str">
        <f aca="false">IF(A263="","",R263&amp;"|"&amp;T263)</f>
        <v/>
      </c>
      <c r="V263" s="10" t="str">
        <f aca="false">IF(G263="","",TEXT(G263,"mm/yyyy"))</f>
        <v/>
      </c>
      <c r="W263" s="10" t="str">
        <f aca="false">IF(P263="","",TEXT(P263,"mm/yyyy"))</f>
        <v/>
      </c>
      <c r="X263" s="10" t="str">
        <f aca="false">IF(A263="","",IF(OR(R263="Fechado (Total)",R263="Fechado (Parcial)"),"Fechado|"&amp;SUMPRODUCT((($R$2:R263="Fechado (Total)")+($R$2:R263="Fechado (Parcial)"))*($A$2:A263&lt;&gt;"")),""))</f>
        <v/>
      </c>
      <c r="Y263" s="10" t="str">
        <f aca="false">IF(A263="","",IF(D263="Indicação",SUMPRODUCT(($D$2:D263="Indicação")*($A$2:A263&lt;&gt;"")),""))</f>
        <v/>
      </c>
      <c r="Z263" s="10" t="str">
        <f aca="false">IF(Y263="","","Indicacao|"&amp;Y263)</f>
        <v/>
      </c>
      <c r="AA263" s="10" t="str">
        <f aca="false">IF(I263="","",TEXT(I263,"mm/yyyy"))</f>
        <v/>
      </c>
    </row>
    <row r="264" customFormat="false" ht="15" hidden="false" customHeight="true" outlineLevel="0" collapsed="false">
      <c r="A264" s="4"/>
      <c r="B264" s="4"/>
      <c r="C264" s="4"/>
      <c r="D264" s="4"/>
      <c r="E264" s="4"/>
      <c r="F264" s="4"/>
      <c r="G264" s="8"/>
      <c r="H264" s="6"/>
      <c r="I264" s="8"/>
      <c r="J264" s="6"/>
      <c r="K264" s="6"/>
      <c r="L264" s="6"/>
      <c r="M264" s="7"/>
      <c r="N264" s="6"/>
      <c r="O264" s="7"/>
      <c r="P264" s="8"/>
      <c r="Q264" s="4"/>
      <c r="R264" s="9" t="str">
        <f aca="false">IF(N264="Sim","Fechado (Total)",IF(N264="Parcial","Fechado (Parcial)",IF(N264="Não","Perdido",IF(N264="Pendente","Pendente",IF(N264="Não precisa no momento","Não Precisa no Momento",IF(L264="Sim","Plano de Tratamento",IF(J264="Não","Não Compareceu",IF(J264="Sim","Compareceu",IF(H264="Não","Perdido",IF(H264="Sim","Consulta Marcada",IF(A264="","","Novo Paciente")))))))))))</f>
        <v/>
      </c>
      <c r="S264" s="4"/>
      <c r="T264" s="10" t="str">
        <f aca="false">IF(A264="","",SUMPRODUCT(($R$2:R264=R264)*($A$2:A264&lt;&gt;"")))</f>
        <v/>
      </c>
      <c r="U264" s="10" t="str">
        <f aca="false">IF(A264="","",R264&amp;"|"&amp;T264)</f>
        <v/>
      </c>
      <c r="V264" s="10" t="str">
        <f aca="false">IF(G264="","",TEXT(G264,"mm/yyyy"))</f>
        <v/>
      </c>
      <c r="W264" s="10" t="str">
        <f aca="false">IF(P264="","",TEXT(P264,"mm/yyyy"))</f>
        <v/>
      </c>
      <c r="X264" s="10" t="str">
        <f aca="false">IF(A264="","",IF(OR(R264="Fechado (Total)",R264="Fechado (Parcial)"),"Fechado|"&amp;SUMPRODUCT((($R$2:R264="Fechado (Total)")+($R$2:R264="Fechado (Parcial)"))*($A$2:A264&lt;&gt;"")),""))</f>
        <v/>
      </c>
      <c r="Y264" s="10" t="str">
        <f aca="false">IF(A264="","",IF(D264="Indicação",SUMPRODUCT(($D$2:D264="Indicação")*($A$2:A264&lt;&gt;"")),""))</f>
        <v/>
      </c>
      <c r="Z264" s="10" t="str">
        <f aca="false">IF(Y264="","","Indicacao|"&amp;Y264)</f>
        <v/>
      </c>
      <c r="AA264" s="10" t="str">
        <f aca="false">IF(I264="","",TEXT(I264,"mm/yyyy"))</f>
        <v/>
      </c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8"/>
      <c r="H265" s="6"/>
      <c r="I265" s="8"/>
      <c r="J265" s="6"/>
      <c r="K265" s="6"/>
      <c r="L265" s="6"/>
      <c r="M265" s="7"/>
      <c r="N265" s="6"/>
      <c r="O265" s="7"/>
      <c r="P265" s="8"/>
      <c r="Q265" s="4"/>
      <c r="R265" s="9" t="str">
        <f aca="false">IF(N265="Sim","Fechado (Total)",IF(N265="Parcial","Fechado (Parcial)",IF(N265="Não","Perdido",IF(N265="Pendente","Pendente",IF(N265="Não precisa no momento","Não Precisa no Momento",IF(L265="Sim","Plano de Tratamento",IF(J265="Não","Não Compareceu",IF(J265="Sim","Compareceu",IF(H265="Não","Perdido",IF(H265="Sim","Consulta Marcada",IF(A265="","","Novo Paciente")))))))))))</f>
        <v/>
      </c>
      <c r="S265" s="4"/>
      <c r="T265" s="10" t="str">
        <f aca="false">IF(A265="","",SUMPRODUCT(($R$2:R265=R265)*($A$2:A265&lt;&gt;"")))</f>
        <v/>
      </c>
      <c r="U265" s="10" t="str">
        <f aca="false">IF(A265="","",R265&amp;"|"&amp;T265)</f>
        <v/>
      </c>
      <c r="V265" s="10" t="str">
        <f aca="false">IF(G265="","",TEXT(G265,"mm/yyyy"))</f>
        <v/>
      </c>
      <c r="W265" s="10" t="str">
        <f aca="false">IF(P265="","",TEXT(P265,"mm/yyyy"))</f>
        <v/>
      </c>
      <c r="X265" s="10" t="str">
        <f aca="false">IF(A265="","",IF(OR(R265="Fechado (Total)",R265="Fechado (Parcial)"),"Fechado|"&amp;SUMPRODUCT((($R$2:R265="Fechado (Total)")+($R$2:R265="Fechado (Parcial)"))*($A$2:A265&lt;&gt;"")),""))</f>
        <v/>
      </c>
      <c r="Y265" s="10" t="str">
        <f aca="false">IF(A265="","",IF(D265="Indicação",SUMPRODUCT(($D$2:D265="Indicação")*($A$2:A265&lt;&gt;"")),""))</f>
        <v/>
      </c>
      <c r="Z265" s="10" t="str">
        <f aca="false">IF(Y265="","","Indicacao|"&amp;Y265)</f>
        <v/>
      </c>
      <c r="AA265" s="10" t="str">
        <f aca="false">IF(I265="","",TEXT(I265,"mm/yyyy"))</f>
        <v/>
      </c>
    </row>
    <row r="266" customFormat="false" ht="15" hidden="false" customHeight="true" outlineLevel="0" collapsed="false">
      <c r="A266" s="4"/>
      <c r="B266" s="4"/>
      <c r="C266" s="4"/>
      <c r="D266" s="4"/>
      <c r="E266" s="4"/>
      <c r="F266" s="4"/>
      <c r="G266" s="8"/>
      <c r="H266" s="6"/>
      <c r="I266" s="8"/>
      <c r="J266" s="6"/>
      <c r="K266" s="6"/>
      <c r="L266" s="6"/>
      <c r="M266" s="7"/>
      <c r="N266" s="6"/>
      <c r="O266" s="7"/>
      <c r="P266" s="8"/>
      <c r="Q266" s="4"/>
      <c r="R266" s="9" t="str">
        <f aca="false">IF(N266="Sim","Fechado (Total)",IF(N266="Parcial","Fechado (Parcial)",IF(N266="Não","Perdido",IF(N266="Pendente","Pendente",IF(N266="Não precisa no momento","Não Precisa no Momento",IF(L266="Sim","Plano de Tratamento",IF(J266="Não","Não Compareceu",IF(J266="Sim","Compareceu",IF(H266="Não","Perdido",IF(H266="Sim","Consulta Marcada",IF(A266="","","Novo Paciente")))))))))))</f>
        <v/>
      </c>
      <c r="S266" s="4"/>
      <c r="T266" s="10" t="str">
        <f aca="false">IF(A266="","",SUMPRODUCT(($R$2:R266=R266)*($A$2:A266&lt;&gt;"")))</f>
        <v/>
      </c>
      <c r="U266" s="10" t="str">
        <f aca="false">IF(A266="","",R266&amp;"|"&amp;T266)</f>
        <v/>
      </c>
      <c r="V266" s="10" t="str">
        <f aca="false">IF(G266="","",TEXT(G266,"mm/yyyy"))</f>
        <v/>
      </c>
      <c r="W266" s="10" t="str">
        <f aca="false">IF(P266="","",TEXT(P266,"mm/yyyy"))</f>
        <v/>
      </c>
      <c r="X266" s="10" t="str">
        <f aca="false">IF(A266="","",IF(OR(R266="Fechado (Total)",R266="Fechado (Parcial)"),"Fechado|"&amp;SUMPRODUCT((($R$2:R266="Fechado (Total)")+($R$2:R266="Fechado (Parcial)"))*($A$2:A266&lt;&gt;"")),""))</f>
        <v/>
      </c>
      <c r="Y266" s="10" t="str">
        <f aca="false">IF(A266="","",IF(D266="Indicação",SUMPRODUCT(($D$2:D266="Indicação")*($A$2:A266&lt;&gt;"")),""))</f>
        <v/>
      </c>
      <c r="Z266" s="10" t="str">
        <f aca="false">IF(Y266="","","Indicacao|"&amp;Y266)</f>
        <v/>
      </c>
      <c r="AA266" s="10" t="str">
        <f aca="false">IF(I266="","",TEXT(I266,"mm/yyyy"))</f>
        <v/>
      </c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8"/>
      <c r="H267" s="6"/>
      <c r="I267" s="8"/>
      <c r="J267" s="6"/>
      <c r="K267" s="6"/>
      <c r="L267" s="6"/>
      <c r="M267" s="7"/>
      <c r="N267" s="6"/>
      <c r="O267" s="7"/>
      <c r="P267" s="8"/>
      <c r="Q267" s="4"/>
      <c r="R267" s="9" t="str">
        <f aca="false">IF(N267="Sim","Fechado (Total)",IF(N267="Parcial","Fechado (Parcial)",IF(N267="Não","Perdido",IF(N267="Pendente","Pendente",IF(N267="Não precisa no momento","Não Precisa no Momento",IF(L267="Sim","Plano de Tratamento",IF(J267="Não","Não Compareceu",IF(J267="Sim","Compareceu",IF(H267="Não","Perdido",IF(H267="Sim","Consulta Marcada",IF(A267="","","Novo Paciente")))))))))))</f>
        <v/>
      </c>
      <c r="S267" s="4"/>
      <c r="T267" s="10" t="str">
        <f aca="false">IF(A267="","",SUMPRODUCT(($R$2:R267=R267)*($A$2:A267&lt;&gt;"")))</f>
        <v/>
      </c>
      <c r="U267" s="10" t="str">
        <f aca="false">IF(A267="","",R267&amp;"|"&amp;T267)</f>
        <v/>
      </c>
      <c r="V267" s="10" t="str">
        <f aca="false">IF(G267="","",TEXT(G267,"mm/yyyy"))</f>
        <v/>
      </c>
      <c r="W267" s="10" t="str">
        <f aca="false">IF(P267="","",TEXT(P267,"mm/yyyy"))</f>
        <v/>
      </c>
      <c r="X267" s="10" t="str">
        <f aca="false">IF(A267="","",IF(OR(R267="Fechado (Total)",R267="Fechado (Parcial)"),"Fechado|"&amp;SUMPRODUCT((($R$2:R267="Fechado (Total)")+($R$2:R267="Fechado (Parcial)"))*($A$2:A267&lt;&gt;"")),""))</f>
        <v/>
      </c>
      <c r="Y267" s="10" t="str">
        <f aca="false">IF(A267="","",IF(D267="Indicação",SUMPRODUCT(($D$2:D267="Indicação")*($A$2:A267&lt;&gt;"")),""))</f>
        <v/>
      </c>
      <c r="Z267" s="10" t="str">
        <f aca="false">IF(Y267="","","Indicacao|"&amp;Y267)</f>
        <v/>
      </c>
      <c r="AA267" s="10" t="str">
        <f aca="false">IF(I267="","",TEXT(I267,"mm/yyyy"))</f>
        <v/>
      </c>
    </row>
    <row r="268" customFormat="false" ht="15" hidden="false" customHeight="true" outlineLevel="0" collapsed="false">
      <c r="A268" s="4"/>
      <c r="B268" s="4"/>
      <c r="C268" s="4"/>
      <c r="D268" s="4"/>
      <c r="E268" s="4"/>
      <c r="F268" s="4"/>
      <c r="G268" s="8"/>
      <c r="H268" s="6"/>
      <c r="I268" s="8"/>
      <c r="J268" s="6"/>
      <c r="K268" s="6"/>
      <c r="L268" s="6"/>
      <c r="M268" s="7"/>
      <c r="N268" s="6"/>
      <c r="O268" s="7"/>
      <c r="P268" s="8"/>
      <c r="Q268" s="4"/>
      <c r="R268" s="9" t="str">
        <f aca="false">IF(N268="Sim","Fechado (Total)",IF(N268="Parcial","Fechado (Parcial)",IF(N268="Não","Perdido",IF(N268="Pendente","Pendente",IF(N268="Não precisa no momento","Não Precisa no Momento",IF(L268="Sim","Plano de Tratamento",IF(J268="Não","Não Compareceu",IF(J268="Sim","Compareceu",IF(H268="Não","Perdido",IF(H268="Sim","Consulta Marcada",IF(A268="","","Novo Paciente")))))))))))</f>
        <v/>
      </c>
      <c r="S268" s="4"/>
      <c r="T268" s="10" t="str">
        <f aca="false">IF(A268="","",SUMPRODUCT(($R$2:R268=R268)*($A$2:A268&lt;&gt;"")))</f>
        <v/>
      </c>
      <c r="U268" s="10" t="str">
        <f aca="false">IF(A268="","",R268&amp;"|"&amp;T268)</f>
        <v/>
      </c>
      <c r="V268" s="10" t="str">
        <f aca="false">IF(G268="","",TEXT(G268,"mm/yyyy"))</f>
        <v/>
      </c>
      <c r="W268" s="10" t="str">
        <f aca="false">IF(P268="","",TEXT(P268,"mm/yyyy"))</f>
        <v/>
      </c>
      <c r="X268" s="10" t="str">
        <f aca="false">IF(A268="","",IF(OR(R268="Fechado (Total)",R268="Fechado (Parcial)"),"Fechado|"&amp;SUMPRODUCT((($R$2:R268="Fechado (Total)")+($R$2:R268="Fechado (Parcial)"))*($A$2:A268&lt;&gt;"")),""))</f>
        <v/>
      </c>
      <c r="Y268" s="10" t="str">
        <f aca="false">IF(A268="","",IF(D268="Indicação",SUMPRODUCT(($D$2:D268="Indicação")*($A$2:A268&lt;&gt;"")),""))</f>
        <v/>
      </c>
      <c r="Z268" s="10" t="str">
        <f aca="false">IF(Y268="","","Indicacao|"&amp;Y268)</f>
        <v/>
      </c>
      <c r="AA268" s="10" t="str">
        <f aca="false">IF(I268="","",TEXT(I268,"mm/yyyy"))</f>
        <v/>
      </c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8"/>
      <c r="H269" s="6"/>
      <c r="I269" s="8"/>
      <c r="J269" s="6"/>
      <c r="K269" s="6"/>
      <c r="L269" s="6"/>
      <c r="M269" s="7"/>
      <c r="N269" s="6"/>
      <c r="O269" s="7"/>
      <c r="P269" s="8"/>
      <c r="Q269" s="4"/>
      <c r="R269" s="9" t="str">
        <f aca="false">IF(N269="Sim","Fechado (Total)",IF(N269="Parcial","Fechado (Parcial)",IF(N269="Não","Perdido",IF(N269="Pendente","Pendente",IF(N269="Não precisa no momento","Não Precisa no Momento",IF(L269="Sim","Plano de Tratamento",IF(J269="Não","Não Compareceu",IF(J269="Sim","Compareceu",IF(H269="Não","Perdido",IF(H269="Sim","Consulta Marcada",IF(A269="","","Novo Paciente")))))))))))</f>
        <v/>
      </c>
      <c r="S269" s="4"/>
      <c r="T269" s="10" t="str">
        <f aca="false">IF(A269="","",SUMPRODUCT(($R$2:R269=R269)*($A$2:A269&lt;&gt;"")))</f>
        <v/>
      </c>
      <c r="U269" s="10" t="str">
        <f aca="false">IF(A269="","",R269&amp;"|"&amp;T269)</f>
        <v/>
      </c>
      <c r="V269" s="10" t="str">
        <f aca="false">IF(G269="","",TEXT(G269,"mm/yyyy"))</f>
        <v/>
      </c>
      <c r="W269" s="10" t="str">
        <f aca="false">IF(P269="","",TEXT(P269,"mm/yyyy"))</f>
        <v/>
      </c>
      <c r="X269" s="10" t="str">
        <f aca="false">IF(A269="","",IF(OR(R269="Fechado (Total)",R269="Fechado (Parcial)"),"Fechado|"&amp;SUMPRODUCT((($R$2:R269="Fechado (Total)")+($R$2:R269="Fechado (Parcial)"))*($A$2:A269&lt;&gt;"")),""))</f>
        <v/>
      </c>
      <c r="Y269" s="10" t="str">
        <f aca="false">IF(A269="","",IF(D269="Indicação",SUMPRODUCT(($D$2:D269="Indicação")*($A$2:A269&lt;&gt;"")),""))</f>
        <v/>
      </c>
      <c r="Z269" s="10" t="str">
        <f aca="false">IF(Y269="","","Indicacao|"&amp;Y269)</f>
        <v/>
      </c>
      <c r="AA269" s="10" t="str">
        <f aca="false">IF(I269="","",TEXT(I269,"mm/yyyy"))</f>
        <v/>
      </c>
    </row>
    <row r="270" customFormat="false" ht="15" hidden="false" customHeight="true" outlineLevel="0" collapsed="false">
      <c r="A270" s="4"/>
      <c r="B270" s="4"/>
      <c r="C270" s="4"/>
      <c r="D270" s="4"/>
      <c r="E270" s="4"/>
      <c r="F270" s="4"/>
      <c r="G270" s="8"/>
      <c r="H270" s="6"/>
      <c r="I270" s="8"/>
      <c r="J270" s="6"/>
      <c r="K270" s="6"/>
      <c r="L270" s="6"/>
      <c r="M270" s="7"/>
      <c r="N270" s="6"/>
      <c r="O270" s="7"/>
      <c r="P270" s="8"/>
      <c r="Q270" s="4"/>
      <c r="R270" s="9" t="str">
        <f aca="false">IF(N270="Sim","Fechado (Total)",IF(N270="Parcial","Fechado (Parcial)",IF(N270="Não","Perdido",IF(N270="Pendente","Pendente",IF(N270="Não precisa no momento","Não Precisa no Momento",IF(L270="Sim","Plano de Tratamento",IF(J270="Não","Não Compareceu",IF(J270="Sim","Compareceu",IF(H270="Não","Perdido",IF(H270="Sim","Consulta Marcada",IF(A270="","","Novo Paciente")))))))))))</f>
        <v/>
      </c>
      <c r="S270" s="4"/>
      <c r="T270" s="10" t="str">
        <f aca="false">IF(A270="","",SUMPRODUCT(($R$2:R270=R270)*($A$2:A270&lt;&gt;"")))</f>
        <v/>
      </c>
      <c r="U270" s="10" t="str">
        <f aca="false">IF(A270="","",R270&amp;"|"&amp;T270)</f>
        <v/>
      </c>
      <c r="V270" s="10" t="str">
        <f aca="false">IF(G270="","",TEXT(G270,"mm/yyyy"))</f>
        <v/>
      </c>
      <c r="W270" s="10" t="str">
        <f aca="false">IF(P270="","",TEXT(P270,"mm/yyyy"))</f>
        <v/>
      </c>
      <c r="X270" s="10" t="str">
        <f aca="false">IF(A270="","",IF(OR(R270="Fechado (Total)",R270="Fechado (Parcial)"),"Fechado|"&amp;SUMPRODUCT((($R$2:R270="Fechado (Total)")+($R$2:R270="Fechado (Parcial)"))*($A$2:A270&lt;&gt;"")),""))</f>
        <v/>
      </c>
      <c r="Y270" s="10" t="str">
        <f aca="false">IF(A270="","",IF(D270="Indicação",SUMPRODUCT(($D$2:D270="Indicação")*($A$2:A270&lt;&gt;"")),""))</f>
        <v/>
      </c>
      <c r="Z270" s="10" t="str">
        <f aca="false">IF(Y270="","","Indicacao|"&amp;Y270)</f>
        <v/>
      </c>
      <c r="AA270" s="10" t="str">
        <f aca="false">IF(I270="","",TEXT(I270,"mm/yyyy"))</f>
        <v/>
      </c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8"/>
      <c r="H271" s="6"/>
      <c r="I271" s="8"/>
      <c r="J271" s="6"/>
      <c r="K271" s="6"/>
      <c r="L271" s="6"/>
      <c r="M271" s="7"/>
      <c r="N271" s="6"/>
      <c r="O271" s="7"/>
      <c r="P271" s="8"/>
      <c r="Q271" s="4"/>
      <c r="R271" s="9" t="str">
        <f aca="false">IF(N271="Sim","Fechado (Total)",IF(N271="Parcial","Fechado (Parcial)",IF(N271="Não","Perdido",IF(N271="Pendente","Pendente",IF(N271="Não precisa no momento","Não Precisa no Momento",IF(L271="Sim","Plano de Tratamento",IF(J271="Não","Não Compareceu",IF(J271="Sim","Compareceu",IF(H271="Não","Perdido",IF(H271="Sim","Consulta Marcada",IF(A271="","","Novo Paciente")))))))))))</f>
        <v/>
      </c>
      <c r="S271" s="4"/>
      <c r="T271" s="10" t="str">
        <f aca="false">IF(A271="","",SUMPRODUCT(($R$2:R271=R271)*($A$2:A271&lt;&gt;"")))</f>
        <v/>
      </c>
      <c r="U271" s="10" t="str">
        <f aca="false">IF(A271="","",R271&amp;"|"&amp;T271)</f>
        <v/>
      </c>
      <c r="V271" s="10" t="str">
        <f aca="false">IF(G271="","",TEXT(G271,"mm/yyyy"))</f>
        <v/>
      </c>
      <c r="W271" s="10" t="str">
        <f aca="false">IF(P271="","",TEXT(P271,"mm/yyyy"))</f>
        <v/>
      </c>
      <c r="X271" s="10" t="str">
        <f aca="false">IF(A271="","",IF(OR(R271="Fechado (Total)",R271="Fechado (Parcial)"),"Fechado|"&amp;SUMPRODUCT((($R$2:R271="Fechado (Total)")+($R$2:R271="Fechado (Parcial)"))*($A$2:A271&lt;&gt;"")),""))</f>
        <v/>
      </c>
      <c r="Y271" s="10" t="str">
        <f aca="false">IF(A271="","",IF(D271="Indicação",SUMPRODUCT(($D$2:D271="Indicação")*($A$2:A271&lt;&gt;"")),""))</f>
        <v/>
      </c>
      <c r="Z271" s="10" t="str">
        <f aca="false">IF(Y271="","","Indicacao|"&amp;Y271)</f>
        <v/>
      </c>
      <c r="AA271" s="10" t="str">
        <f aca="false">IF(I271="","",TEXT(I271,"mm/yyyy"))</f>
        <v/>
      </c>
    </row>
    <row r="272" customFormat="false" ht="15" hidden="false" customHeight="true" outlineLevel="0" collapsed="false">
      <c r="A272" s="4"/>
      <c r="B272" s="4"/>
      <c r="C272" s="4"/>
      <c r="D272" s="4"/>
      <c r="E272" s="4"/>
      <c r="F272" s="4"/>
      <c r="G272" s="8"/>
      <c r="H272" s="6"/>
      <c r="I272" s="8"/>
      <c r="J272" s="6"/>
      <c r="K272" s="6"/>
      <c r="L272" s="6"/>
      <c r="M272" s="7"/>
      <c r="N272" s="6"/>
      <c r="O272" s="7"/>
      <c r="P272" s="8"/>
      <c r="Q272" s="4"/>
      <c r="R272" s="9" t="str">
        <f aca="false">IF(N272="Sim","Fechado (Total)",IF(N272="Parcial","Fechado (Parcial)",IF(N272="Não","Perdido",IF(N272="Pendente","Pendente",IF(N272="Não precisa no momento","Não Precisa no Momento",IF(L272="Sim","Plano de Tratamento",IF(J272="Não","Não Compareceu",IF(J272="Sim","Compareceu",IF(H272="Não","Perdido",IF(H272="Sim","Consulta Marcada",IF(A272="","","Novo Paciente")))))))))))</f>
        <v/>
      </c>
      <c r="S272" s="4"/>
      <c r="T272" s="10" t="str">
        <f aca="false">IF(A272="","",SUMPRODUCT(($R$2:R272=R272)*($A$2:A272&lt;&gt;"")))</f>
        <v/>
      </c>
      <c r="U272" s="10" t="str">
        <f aca="false">IF(A272="","",R272&amp;"|"&amp;T272)</f>
        <v/>
      </c>
      <c r="V272" s="10" t="str">
        <f aca="false">IF(G272="","",TEXT(G272,"mm/yyyy"))</f>
        <v/>
      </c>
      <c r="W272" s="10" t="str">
        <f aca="false">IF(P272="","",TEXT(P272,"mm/yyyy"))</f>
        <v/>
      </c>
      <c r="X272" s="10" t="str">
        <f aca="false">IF(A272="","",IF(OR(R272="Fechado (Total)",R272="Fechado (Parcial)"),"Fechado|"&amp;SUMPRODUCT((($R$2:R272="Fechado (Total)")+($R$2:R272="Fechado (Parcial)"))*($A$2:A272&lt;&gt;"")),""))</f>
        <v/>
      </c>
      <c r="Y272" s="10" t="str">
        <f aca="false">IF(A272="","",IF(D272="Indicação",SUMPRODUCT(($D$2:D272="Indicação")*($A$2:A272&lt;&gt;"")),""))</f>
        <v/>
      </c>
      <c r="Z272" s="10" t="str">
        <f aca="false">IF(Y272="","","Indicacao|"&amp;Y272)</f>
        <v/>
      </c>
      <c r="AA272" s="10" t="str">
        <f aca="false">IF(I272="","",TEXT(I272,"mm/yyyy"))</f>
        <v/>
      </c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8"/>
      <c r="H273" s="6"/>
      <c r="I273" s="8"/>
      <c r="J273" s="6"/>
      <c r="K273" s="6"/>
      <c r="L273" s="6"/>
      <c r="M273" s="7"/>
      <c r="N273" s="6"/>
      <c r="O273" s="7"/>
      <c r="P273" s="8"/>
      <c r="Q273" s="4"/>
      <c r="R273" s="9" t="str">
        <f aca="false">IF(N273="Sim","Fechado (Total)",IF(N273="Parcial","Fechado (Parcial)",IF(N273="Não","Perdido",IF(N273="Pendente","Pendente",IF(N273="Não precisa no momento","Não Precisa no Momento",IF(L273="Sim","Plano de Tratamento",IF(J273="Não","Não Compareceu",IF(J273="Sim","Compareceu",IF(H273="Não","Perdido",IF(H273="Sim","Consulta Marcada",IF(A273="","","Novo Paciente")))))))))))</f>
        <v/>
      </c>
      <c r="S273" s="4"/>
      <c r="T273" s="10" t="str">
        <f aca="false">IF(A273="","",SUMPRODUCT(($R$2:R273=R273)*($A$2:A273&lt;&gt;"")))</f>
        <v/>
      </c>
      <c r="U273" s="10" t="str">
        <f aca="false">IF(A273="","",R273&amp;"|"&amp;T273)</f>
        <v/>
      </c>
      <c r="V273" s="10" t="str">
        <f aca="false">IF(G273="","",TEXT(G273,"mm/yyyy"))</f>
        <v/>
      </c>
      <c r="W273" s="10" t="str">
        <f aca="false">IF(P273="","",TEXT(P273,"mm/yyyy"))</f>
        <v/>
      </c>
      <c r="X273" s="10" t="str">
        <f aca="false">IF(A273="","",IF(OR(R273="Fechado (Total)",R273="Fechado (Parcial)"),"Fechado|"&amp;SUMPRODUCT((($R$2:R273="Fechado (Total)")+($R$2:R273="Fechado (Parcial)"))*($A$2:A273&lt;&gt;"")),""))</f>
        <v/>
      </c>
      <c r="Y273" s="10" t="str">
        <f aca="false">IF(A273="","",IF(D273="Indicação",SUMPRODUCT(($D$2:D273="Indicação")*($A$2:A273&lt;&gt;"")),""))</f>
        <v/>
      </c>
      <c r="Z273" s="10" t="str">
        <f aca="false">IF(Y273="","","Indicacao|"&amp;Y273)</f>
        <v/>
      </c>
      <c r="AA273" s="10" t="str">
        <f aca="false">IF(I273="","",TEXT(I273,"mm/yyyy"))</f>
        <v/>
      </c>
    </row>
    <row r="274" customFormat="false" ht="15" hidden="false" customHeight="true" outlineLevel="0" collapsed="false">
      <c r="A274" s="4"/>
      <c r="B274" s="4"/>
      <c r="C274" s="4"/>
      <c r="D274" s="4"/>
      <c r="E274" s="4"/>
      <c r="F274" s="4"/>
      <c r="G274" s="8"/>
      <c r="H274" s="6"/>
      <c r="I274" s="8"/>
      <c r="J274" s="6"/>
      <c r="K274" s="6"/>
      <c r="L274" s="6"/>
      <c r="M274" s="7"/>
      <c r="N274" s="6"/>
      <c r="O274" s="7"/>
      <c r="P274" s="8"/>
      <c r="Q274" s="4"/>
      <c r="R274" s="9" t="str">
        <f aca="false">IF(N274="Sim","Fechado (Total)",IF(N274="Parcial","Fechado (Parcial)",IF(N274="Não","Perdido",IF(N274="Pendente","Pendente",IF(N274="Não precisa no momento","Não Precisa no Momento",IF(L274="Sim","Plano de Tratamento",IF(J274="Não","Não Compareceu",IF(J274="Sim","Compareceu",IF(H274="Não","Perdido",IF(H274="Sim","Consulta Marcada",IF(A274="","","Novo Paciente")))))))))))</f>
        <v/>
      </c>
      <c r="S274" s="4"/>
      <c r="T274" s="10" t="str">
        <f aca="false">IF(A274="","",SUMPRODUCT(($R$2:R274=R274)*($A$2:A274&lt;&gt;"")))</f>
        <v/>
      </c>
      <c r="U274" s="10" t="str">
        <f aca="false">IF(A274="","",R274&amp;"|"&amp;T274)</f>
        <v/>
      </c>
      <c r="V274" s="10" t="str">
        <f aca="false">IF(G274="","",TEXT(G274,"mm/yyyy"))</f>
        <v/>
      </c>
      <c r="W274" s="10" t="str">
        <f aca="false">IF(P274="","",TEXT(P274,"mm/yyyy"))</f>
        <v/>
      </c>
      <c r="X274" s="10" t="str">
        <f aca="false">IF(A274="","",IF(OR(R274="Fechado (Total)",R274="Fechado (Parcial)"),"Fechado|"&amp;SUMPRODUCT((($R$2:R274="Fechado (Total)")+($R$2:R274="Fechado (Parcial)"))*($A$2:A274&lt;&gt;"")),""))</f>
        <v/>
      </c>
      <c r="Y274" s="10" t="str">
        <f aca="false">IF(A274="","",IF(D274="Indicação",SUMPRODUCT(($D$2:D274="Indicação")*($A$2:A274&lt;&gt;"")),""))</f>
        <v/>
      </c>
      <c r="Z274" s="10" t="str">
        <f aca="false">IF(Y274="","","Indicacao|"&amp;Y274)</f>
        <v/>
      </c>
      <c r="AA274" s="10" t="str">
        <f aca="false">IF(I274="","",TEXT(I274,"mm/yyyy"))</f>
        <v/>
      </c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8"/>
      <c r="H275" s="6"/>
      <c r="I275" s="8"/>
      <c r="J275" s="6"/>
      <c r="K275" s="6"/>
      <c r="L275" s="6"/>
      <c r="M275" s="7"/>
      <c r="N275" s="6"/>
      <c r="O275" s="7"/>
      <c r="P275" s="8"/>
      <c r="Q275" s="4"/>
      <c r="R275" s="9" t="str">
        <f aca="false">IF(N275="Sim","Fechado (Total)",IF(N275="Parcial","Fechado (Parcial)",IF(N275="Não","Perdido",IF(N275="Pendente","Pendente",IF(N275="Não precisa no momento","Não Precisa no Momento",IF(L275="Sim","Plano de Tratamento",IF(J275="Não","Não Compareceu",IF(J275="Sim","Compareceu",IF(H275="Não","Perdido",IF(H275="Sim","Consulta Marcada",IF(A275="","","Novo Paciente")))))))))))</f>
        <v/>
      </c>
      <c r="S275" s="4"/>
      <c r="T275" s="10" t="str">
        <f aca="false">IF(A275="","",SUMPRODUCT(($R$2:R275=R275)*($A$2:A275&lt;&gt;"")))</f>
        <v/>
      </c>
      <c r="U275" s="10" t="str">
        <f aca="false">IF(A275="","",R275&amp;"|"&amp;T275)</f>
        <v/>
      </c>
      <c r="V275" s="10" t="str">
        <f aca="false">IF(G275="","",TEXT(G275,"mm/yyyy"))</f>
        <v/>
      </c>
      <c r="W275" s="10" t="str">
        <f aca="false">IF(P275="","",TEXT(P275,"mm/yyyy"))</f>
        <v/>
      </c>
      <c r="X275" s="10" t="str">
        <f aca="false">IF(A275="","",IF(OR(R275="Fechado (Total)",R275="Fechado (Parcial)"),"Fechado|"&amp;SUMPRODUCT((($R$2:R275="Fechado (Total)")+($R$2:R275="Fechado (Parcial)"))*($A$2:A275&lt;&gt;"")),""))</f>
        <v/>
      </c>
      <c r="Y275" s="10" t="str">
        <f aca="false">IF(A275="","",IF(D275="Indicação",SUMPRODUCT(($D$2:D275="Indicação")*($A$2:A275&lt;&gt;"")),""))</f>
        <v/>
      </c>
      <c r="Z275" s="10" t="str">
        <f aca="false">IF(Y275="","","Indicacao|"&amp;Y275)</f>
        <v/>
      </c>
      <c r="AA275" s="10" t="str">
        <f aca="false">IF(I275="","",TEXT(I275,"mm/yyyy"))</f>
        <v/>
      </c>
    </row>
    <row r="276" customFormat="false" ht="15" hidden="false" customHeight="true" outlineLevel="0" collapsed="false">
      <c r="A276" s="4"/>
      <c r="B276" s="4"/>
      <c r="C276" s="4"/>
      <c r="D276" s="4"/>
      <c r="E276" s="4"/>
      <c r="F276" s="4"/>
      <c r="G276" s="8"/>
      <c r="H276" s="6"/>
      <c r="I276" s="8"/>
      <c r="J276" s="6"/>
      <c r="K276" s="6"/>
      <c r="L276" s="6"/>
      <c r="M276" s="7"/>
      <c r="N276" s="6"/>
      <c r="O276" s="7"/>
      <c r="P276" s="8"/>
      <c r="Q276" s="4"/>
      <c r="R276" s="9" t="str">
        <f aca="false">IF(N276="Sim","Fechado (Total)",IF(N276="Parcial","Fechado (Parcial)",IF(N276="Não","Perdido",IF(N276="Pendente","Pendente",IF(N276="Não precisa no momento","Não Precisa no Momento",IF(L276="Sim","Plano de Tratamento",IF(J276="Não","Não Compareceu",IF(J276="Sim","Compareceu",IF(H276="Não","Perdido",IF(H276="Sim","Consulta Marcada",IF(A276="","","Novo Paciente")))))))))))</f>
        <v/>
      </c>
      <c r="S276" s="4"/>
      <c r="T276" s="10" t="str">
        <f aca="false">IF(A276="","",SUMPRODUCT(($R$2:R276=R276)*($A$2:A276&lt;&gt;"")))</f>
        <v/>
      </c>
      <c r="U276" s="10" t="str">
        <f aca="false">IF(A276="","",R276&amp;"|"&amp;T276)</f>
        <v/>
      </c>
      <c r="V276" s="10" t="str">
        <f aca="false">IF(G276="","",TEXT(G276,"mm/yyyy"))</f>
        <v/>
      </c>
      <c r="W276" s="10" t="str">
        <f aca="false">IF(P276="","",TEXT(P276,"mm/yyyy"))</f>
        <v/>
      </c>
      <c r="X276" s="10" t="str">
        <f aca="false">IF(A276="","",IF(OR(R276="Fechado (Total)",R276="Fechado (Parcial)"),"Fechado|"&amp;SUMPRODUCT((($R$2:R276="Fechado (Total)")+($R$2:R276="Fechado (Parcial)"))*($A$2:A276&lt;&gt;"")),""))</f>
        <v/>
      </c>
      <c r="Y276" s="10" t="str">
        <f aca="false">IF(A276="","",IF(D276="Indicação",SUMPRODUCT(($D$2:D276="Indicação")*($A$2:A276&lt;&gt;"")),""))</f>
        <v/>
      </c>
      <c r="Z276" s="10" t="str">
        <f aca="false">IF(Y276="","","Indicacao|"&amp;Y276)</f>
        <v/>
      </c>
      <c r="AA276" s="10" t="str">
        <f aca="false">IF(I276="","",TEXT(I276,"mm/yyyy"))</f>
        <v/>
      </c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8"/>
      <c r="H277" s="6"/>
      <c r="I277" s="8"/>
      <c r="J277" s="6"/>
      <c r="K277" s="6"/>
      <c r="L277" s="6"/>
      <c r="M277" s="7"/>
      <c r="N277" s="6"/>
      <c r="O277" s="7"/>
      <c r="P277" s="8"/>
      <c r="Q277" s="4"/>
      <c r="R277" s="9" t="str">
        <f aca="false">IF(N277="Sim","Fechado (Total)",IF(N277="Parcial","Fechado (Parcial)",IF(N277="Não","Perdido",IF(N277="Pendente","Pendente",IF(N277="Não precisa no momento","Não Precisa no Momento",IF(L277="Sim","Plano de Tratamento",IF(J277="Não","Não Compareceu",IF(J277="Sim","Compareceu",IF(H277="Não","Perdido",IF(H277="Sim","Consulta Marcada",IF(A277="","","Novo Paciente")))))))))))</f>
        <v/>
      </c>
      <c r="S277" s="4"/>
      <c r="T277" s="10" t="str">
        <f aca="false">IF(A277="","",SUMPRODUCT(($R$2:R277=R277)*($A$2:A277&lt;&gt;"")))</f>
        <v/>
      </c>
      <c r="U277" s="10" t="str">
        <f aca="false">IF(A277="","",R277&amp;"|"&amp;T277)</f>
        <v/>
      </c>
      <c r="V277" s="10" t="str">
        <f aca="false">IF(G277="","",TEXT(G277,"mm/yyyy"))</f>
        <v/>
      </c>
      <c r="W277" s="10" t="str">
        <f aca="false">IF(P277="","",TEXT(P277,"mm/yyyy"))</f>
        <v/>
      </c>
      <c r="X277" s="10" t="str">
        <f aca="false">IF(A277="","",IF(OR(R277="Fechado (Total)",R277="Fechado (Parcial)"),"Fechado|"&amp;SUMPRODUCT((($R$2:R277="Fechado (Total)")+($R$2:R277="Fechado (Parcial)"))*($A$2:A277&lt;&gt;"")),""))</f>
        <v/>
      </c>
      <c r="Y277" s="10" t="str">
        <f aca="false">IF(A277="","",IF(D277="Indicação",SUMPRODUCT(($D$2:D277="Indicação")*($A$2:A277&lt;&gt;"")),""))</f>
        <v/>
      </c>
      <c r="Z277" s="10" t="str">
        <f aca="false">IF(Y277="","","Indicacao|"&amp;Y277)</f>
        <v/>
      </c>
      <c r="AA277" s="10" t="str">
        <f aca="false">IF(I277="","",TEXT(I277,"mm/yyyy"))</f>
        <v/>
      </c>
    </row>
    <row r="278" customFormat="false" ht="15" hidden="false" customHeight="true" outlineLevel="0" collapsed="false">
      <c r="A278" s="4"/>
      <c r="B278" s="4"/>
      <c r="C278" s="4"/>
      <c r="D278" s="4"/>
      <c r="E278" s="4"/>
      <c r="F278" s="4"/>
      <c r="G278" s="8"/>
      <c r="H278" s="6"/>
      <c r="I278" s="8"/>
      <c r="J278" s="6"/>
      <c r="K278" s="6"/>
      <c r="L278" s="6"/>
      <c r="M278" s="7"/>
      <c r="N278" s="6"/>
      <c r="O278" s="7"/>
      <c r="P278" s="8"/>
      <c r="Q278" s="4"/>
      <c r="R278" s="9" t="str">
        <f aca="false">IF(N278="Sim","Fechado (Total)",IF(N278="Parcial","Fechado (Parcial)",IF(N278="Não","Perdido",IF(N278="Pendente","Pendente",IF(N278="Não precisa no momento","Não Precisa no Momento",IF(L278="Sim","Plano de Tratamento",IF(J278="Não","Não Compareceu",IF(J278="Sim","Compareceu",IF(H278="Não","Perdido",IF(H278="Sim","Consulta Marcada",IF(A278="","","Novo Paciente")))))))))))</f>
        <v/>
      </c>
      <c r="S278" s="4"/>
      <c r="T278" s="10" t="str">
        <f aca="false">IF(A278="","",SUMPRODUCT(($R$2:R278=R278)*($A$2:A278&lt;&gt;"")))</f>
        <v/>
      </c>
      <c r="U278" s="10" t="str">
        <f aca="false">IF(A278="","",R278&amp;"|"&amp;T278)</f>
        <v/>
      </c>
      <c r="V278" s="10" t="str">
        <f aca="false">IF(G278="","",TEXT(G278,"mm/yyyy"))</f>
        <v/>
      </c>
      <c r="W278" s="10" t="str">
        <f aca="false">IF(P278="","",TEXT(P278,"mm/yyyy"))</f>
        <v/>
      </c>
      <c r="X278" s="10" t="str">
        <f aca="false">IF(A278="","",IF(OR(R278="Fechado (Total)",R278="Fechado (Parcial)"),"Fechado|"&amp;SUMPRODUCT((($R$2:R278="Fechado (Total)")+($R$2:R278="Fechado (Parcial)"))*($A$2:A278&lt;&gt;"")),""))</f>
        <v/>
      </c>
      <c r="Y278" s="10" t="str">
        <f aca="false">IF(A278="","",IF(D278="Indicação",SUMPRODUCT(($D$2:D278="Indicação")*($A$2:A278&lt;&gt;"")),""))</f>
        <v/>
      </c>
      <c r="Z278" s="10" t="str">
        <f aca="false">IF(Y278="","","Indicacao|"&amp;Y278)</f>
        <v/>
      </c>
      <c r="AA278" s="10" t="str">
        <f aca="false">IF(I278="","",TEXT(I278,"mm/yyyy"))</f>
        <v/>
      </c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8"/>
      <c r="H279" s="6"/>
      <c r="I279" s="8"/>
      <c r="J279" s="6"/>
      <c r="K279" s="6"/>
      <c r="L279" s="6"/>
      <c r="M279" s="7"/>
      <c r="N279" s="6"/>
      <c r="O279" s="7"/>
      <c r="P279" s="8"/>
      <c r="Q279" s="4"/>
      <c r="R279" s="9" t="str">
        <f aca="false">IF(N279="Sim","Fechado (Total)",IF(N279="Parcial","Fechado (Parcial)",IF(N279="Não","Perdido",IF(N279="Pendente","Pendente",IF(N279="Não precisa no momento","Não Precisa no Momento",IF(L279="Sim","Plano de Tratamento",IF(J279="Não","Não Compareceu",IF(J279="Sim","Compareceu",IF(H279="Não","Perdido",IF(H279="Sim","Consulta Marcada",IF(A279="","","Novo Paciente")))))))))))</f>
        <v/>
      </c>
      <c r="S279" s="4"/>
      <c r="T279" s="10" t="str">
        <f aca="false">IF(A279="","",SUMPRODUCT(($R$2:R279=R279)*($A$2:A279&lt;&gt;"")))</f>
        <v/>
      </c>
      <c r="U279" s="10" t="str">
        <f aca="false">IF(A279="","",R279&amp;"|"&amp;T279)</f>
        <v/>
      </c>
      <c r="V279" s="10" t="str">
        <f aca="false">IF(G279="","",TEXT(G279,"mm/yyyy"))</f>
        <v/>
      </c>
      <c r="W279" s="10" t="str">
        <f aca="false">IF(P279="","",TEXT(P279,"mm/yyyy"))</f>
        <v/>
      </c>
      <c r="X279" s="10" t="str">
        <f aca="false">IF(A279="","",IF(OR(R279="Fechado (Total)",R279="Fechado (Parcial)"),"Fechado|"&amp;SUMPRODUCT((($R$2:R279="Fechado (Total)")+($R$2:R279="Fechado (Parcial)"))*($A$2:A279&lt;&gt;"")),""))</f>
        <v/>
      </c>
      <c r="Y279" s="10" t="str">
        <f aca="false">IF(A279="","",IF(D279="Indicação",SUMPRODUCT(($D$2:D279="Indicação")*($A$2:A279&lt;&gt;"")),""))</f>
        <v/>
      </c>
      <c r="Z279" s="10" t="str">
        <f aca="false">IF(Y279="","","Indicacao|"&amp;Y279)</f>
        <v/>
      </c>
      <c r="AA279" s="10" t="str">
        <f aca="false">IF(I279="","",TEXT(I279,"mm/yyyy"))</f>
        <v/>
      </c>
    </row>
    <row r="280" customFormat="false" ht="15" hidden="false" customHeight="true" outlineLevel="0" collapsed="false">
      <c r="A280" s="4"/>
      <c r="B280" s="4"/>
      <c r="C280" s="4"/>
      <c r="D280" s="4"/>
      <c r="E280" s="4"/>
      <c r="F280" s="4"/>
      <c r="G280" s="8"/>
      <c r="H280" s="6"/>
      <c r="I280" s="8"/>
      <c r="J280" s="6"/>
      <c r="K280" s="6"/>
      <c r="L280" s="6"/>
      <c r="M280" s="7"/>
      <c r="N280" s="6"/>
      <c r="O280" s="7"/>
      <c r="P280" s="8"/>
      <c r="Q280" s="4"/>
      <c r="R280" s="9" t="str">
        <f aca="false">IF(N280="Sim","Fechado (Total)",IF(N280="Parcial","Fechado (Parcial)",IF(N280="Não","Perdido",IF(N280="Pendente","Pendente",IF(N280="Não precisa no momento","Não Precisa no Momento",IF(L280="Sim","Plano de Tratamento",IF(J280="Não","Não Compareceu",IF(J280="Sim","Compareceu",IF(H280="Não","Perdido",IF(H280="Sim","Consulta Marcada",IF(A280="","","Novo Paciente")))))))))))</f>
        <v/>
      </c>
      <c r="S280" s="4"/>
      <c r="T280" s="10" t="str">
        <f aca="false">IF(A280="","",SUMPRODUCT(($R$2:R280=R280)*($A$2:A280&lt;&gt;"")))</f>
        <v/>
      </c>
      <c r="U280" s="10" t="str">
        <f aca="false">IF(A280="","",R280&amp;"|"&amp;T280)</f>
        <v/>
      </c>
      <c r="V280" s="10" t="str">
        <f aca="false">IF(G280="","",TEXT(G280,"mm/yyyy"))</f>
        <v/>
      </c>
      <c r="W280" s="10" t="str">
        <f aca="false">IF(P280="","",TEXT(P280,"mm/yyyy"))</f>
        <v/>
      </c>
      <c r="X280" s="10" t="str">
        <f aca="false">IF(A280="","",IF(OR(R280="Fechado (Total)",R280="Fechado (Parcial)"),"Fechado|"&amp;SUMPRODUCT((($R$2:R280="Fechado (Total)")+($R$2:R280="Fechado (Parcial)"))*($A$2:A280&lt;&gt;"")),""))</f>
        <v/>
      </c>
      <c r="Y280" s="10" t="str">
        <f aca="false">IF(A280="","",IF(D280="Indicação",SUMPRODUCT(($D$2:D280="Indicação")*($A$2:A280&lt;&gt;"")),""))</f>
        <v/>
      </c>
      <c r="Z280" s="10" t="str">
        <f aca="false">IF(Y280="","","Indicacao|"&amp;Y280)</f>
        <v/>
      </c>
      <c r="AA280" s="10" t="str">
        <f aca="false">IF(I280="","",TEXT(I280,"mm/yyyy"))</f>
        <v/>
      </c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8"/>
      <c r="H281" s="6"/>
      <c r="I281" s="8"/>
      <c r="J281" s="6"/>
      <c r="K281" s="6"/>
      <c r="L281" s="6"/>
      <c r="M281" s="7"/>
      <c r="N281" s="6"/>
      <c r="O281" s="7"/>
      <c r="P281" s="8"/>
      <c r="Q281" s="4"/>
      <c r="R281" s="9" t="str">
        <f aca="false">IF(N281="Sim","Fechado (Total)",IF(N281="Parcial","Fechado (Parcial)",IF(N281="Não","Perdido",IF(N281="Pendente","Pendente",IF(N281="Não precisa no momento","Não Precisa no Momento",IF(L281="Sim","Plano de Tratamento",IF(J281="Não","Não Compareceu",IF(J281="Sim","Compareceu",IF(H281="Não","Perdido",IF(H281="Sim","Consulta Marcada",IF(A281="","","Novo Paciente")))))))))))</f>
        <v/>
      </c>
      <c r="S281" s="4"/>
      <c r="T281" s="10" t="str">
        <f aca="false">IF(A281="","",SUMPRODUCT(($R$2:R281=R281)*($A$2:A281&lt;&gt;"")))</f>
        <v/>
      </c>
      <c r="U281" s="10" t="str">
        <f aca="false">IF(A281="","",R281&amp;"|"&amp;T281)</f>
        <v/>
      </c>
      <c r="V281" s="10" t="str">
        <f aca="false">IF(G281="","",TEXT(G281,"mm/yyyy"))</f>
        <v/>
      </c>
      <c r="W281" s="10" t="str">
        <f aca="false">IF(P281="","",TEXT(P281,"mm/yyyy"))</f>
        <v/>
      </c>
      <c r="X281" s="10" t="str">
        <f aca="false">IF(A281="","",IF(OR(R281="Fechado (Total)",R281="Fechado (Parcial)"),"Fechado|"&amp;SUMPRODUCT((($R$2:R281="Fechado (Total)")+($R$2:R281="Fechado (Parcial)"))*($A$2:A281&lt;&gt;"")),""))</f>
        <v/>
      </c>
      <c r="Y281" s="10" t="str">
        <f aca="false">IF(A281="","",IF(D281="Indicação",SUMPRODUCT(($D$2:D281="Indicação")*($A$2:A281&lt;&gt;"")),""))</f>
        <v/>
      </c>
      <c r="Z281" s="10" t="str">
        <f aca="false">IF(Y281="","","Indicacao|"&amp;Y281)</f>
        <v/>
      </c>
      <c r="AA281" s="10" t="str">
        <f aca="false">IF(I281="","",TEXT(I281,"mm/yyyy"))</f>
        <v/>
      </c>
    </row>
    <row r="282" customFormat="false" ht="15" hidden="false" customHeight="true" outlineLevel="0" collapsed="false">
      <c r="A282" s="4"/>
      <c r="B282" s="4"/>
      <c r="C282" s="4"/>
      <c r="D282" s="4"/>
      <c r="E282" s="4"/>
      <c r="F282" s="4"/>
      <c r="G282" s="8"/>
      <c r="H282" s="6"/>
      <c r="I282" s="8"/>
      <c r="J282" s="6"/>
      <c r="K282" s="6"/>
      <c r="L282" s="6"/>
      <c r="M282" s="7"/>
      <c r="N282" s="6"/>
      <c r="O282" s="7"/>
      <c r="P282" s="8"/>
      <c r="Q282" s="4"/>
      <c r="R282" s="9" t="str">
        <f aca="false">IF(N282="Sim","Fechado (Total)",IF(N282="Parcial","Fechado (Parcial)",IF(N282="Não","Perdido",IF(N282="Pendente","Pendente",IF(N282="Não precisa no momento","Não Precisa no Momento",IF(L282="Sim","Plano de Tratamento",IF(J282="Não","Não Compareceu",IF(J282="Sim","Compareceu",IF(H282="Não","Perdido",IF(H282="Sim","Consulta Marcada",IF(A282="","","Novo Paciente")))))))))))</f>
        <v/>
      </c>
      <c r="S282" s="4"/>
      <c r="T282" s="10" t="str">
        <f aca="false">IF(A282="","",SUMPRODUCT(($R$2:R282=R282)*($A$2:A282&lt;&gt;"")))</f>
        <v/>
      </c>
      <c r="U282" s="10" t="str">
        <f aca="false">IF(A282="","",R282&amp;"|"&amp;T282)</f>
        <v/>
      </c>
      <c r="V282" s="10" t="str">
        <f aca="false">IF(G282="","",TEXT(G282,"mm/yyyy"))</f>
        <v/>
      </c>
      <c r="W282" s="10" t="str">
        <f aca="false">IF(P282="","",TEXT(P282,"mm/yyyy"))</f>
        <v/>
      </c>
      <c r="X282" s="10" t="str">
        <f aca="false">IF(A282="","",IF(OR(R282="Fechado (Total)",R282="Fechado (Parcial)"),"Fechado|"&amp;SUMPRODUCT((($R$2:R282="Fechado (Total)")+($R$2:R282="Fechado (Parcial)"))*($A$2:A282&lt;&gt;"")),""))</f>
        <v/>
      </c>
      <c r="Y282" s="10" t="str">
        <f aca="false">IF(A282="","",IF(D282="Indicação",SUMPRODUCT(($D$2:D282="Indicação")*($A$2:A282&lt;&gt;"")),""))</f>
        <v/>
      </c>
      <c r="Z282" s="10" t="str">
        <f aca="false">IF(Y282="","","Indicacao|"&amp;Y282)</f>
        <v/>
      </c>
      <c r="AA282" s="10" t="str">
        <f aca="false">IF(I282="","",TEXT(I282,"mm/yyyy"))</f>
        <v/>
      </c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8"/>
      <c r="H283" s="6"/>
      <c r="I283" s="8"/>
      <c r="J283" s="6"/>
      <c r="K283" s="6"/>
      <c r="L283" s="6"/>
      <c r="M283" s="7"/>
      <c r="N283" s="6"/>
      <c r="O283" s="7"/>
      <c r="P283" s="8"/>
      <c r="Q283" s="4"/>
      <c r="R283" s="9" t="str">
        <f aca="false">IF(N283="Sim","Fechado (Total)",IF(N283="Parcial","Fechado (Parcial)",IF(N283="Não","Perdido",IF(N283="Pendente","Pendente",IF(N283="Não precisa no momento","Não Precisa no Momento",IF(L283="Sim","Plano de Tratamento",IF(J283="Não","Não Compareceu",IF(J283="Sim","Compareceu",IF(H283="Não","Perdido",IF(H283="Sim","Consulta Marcada",IF(A283="","","Novo Paciente")))))))))))</f>
        <v/>
      </c>
      <c r="S283" s="4"/>
      <c r="T283" s="10" t="str">
        <f aca="false">IF(A283="","",SUMPRODUCT(($R$2:R283=R283)*($A$2:A283&lt;&gt;"")))</f>
        <v/>
      </c>
      <c r="U283" s="10" t="str">
        <f aca="false">IF(A283="","",R283&amp;"|"&amp;T283)</f>
        <v/>
      </c>
      <c r="V283" s="10" t="str">
        <f aca="false">IF(G283="","",TEXT(G283,"mm/yyyy"))</f>
        <v/>
      </c>
      <c r="W283" s="10" t="str">
        <f aca="false">IF(P283="","",TEXT(P283,"mm/yyyy"))</f>
        <v/>
      </c>
      <c r="X283" s="10" t="str">
        <f aca="false">IF(A283="","",IF(OR(R283="Fechado (Total)",R283="Fechado (Parcial)"),"Fechado|"&amp;SUMPRODUCT((($R$2:R283="Fechado (Total)")+($R$2:R283="Fechado (Parcial)"))*($A$2:A283&lt;&gt;"")),""))</f>
        <v/>
      </c>
      <c r="Y283" s="10" t="str">
        <f aca="false">IF(A283="","",IF(D283="Indicação",SUMPRODUCT(($D$2:D283="Indicação")*($A$2:A283&lt;&gt;"")),""))</f>
        <v/>
      </c>
      <c r="Z283" s="10" t="str">
        <f aca="false">IF(Y283="","","Indicacao|"&amp;Y283)</f>
        <v/>
      </c>
      <c r="AA283" s="10" t="str">
        <f aca="false">IF(I283="","",TEXT(I283,"mm/yyyy"))</f>
        <v/>
      </c>
    </row>
    <row r="284" customFormat="false" ht="15" hidden="false" customHeight="true" outlineLevel="0" collapsed="false">
      <c r="A284" s="4"/>
      <c r="B284" s="4"/>
      <c r="C284" s="4"/>
      <c r="D284" s="4"/>
      <c r="E284" s="4"/>
      <c r="F284" s="4"/>
      <c r="G284" s="8"/>
      <c r="H284" s="6"/>
      <c r="I284" s="8"/>
      <c r="J284" s="6"/>
      <c r="K284" s="6"/>
      <c r="L284" s="6"/>
      <c r="M284" s="7"/>
      <c r="N284" s="6"/>
      <c r="O284" s="7"/>
      <c r="P284" s="8"/>
      <c r="Q284" s="4"/>
      <c r="R284" s="9" t="str">
        <f aca="false">IF(N284="Sim","Fechado (Total)",IF(N284="Parcial","Fechado (Parcial)",IF(N284="Não","Perdido",IF(N284="Pendente","Pendente",IF(N284="Não precisa no momento","Não Precisa no Momento",IF(L284="Sim","Plano de Tratamento",IF(J284="Não","Não Compareceu",IF(J284="Sim","Compareceu",IF(H284="Não","Perdido",IF(H284="Sim","Consulta Marcada",IF(A284="","","Novo Paciente")))))))))))</f>
        <v/>
      </c>
      <c r="S284" s="4"/>
      <c r="T284" s="10" t="str">
        <f aca="false">IF(A284="","",SUMPRODUCT(($R$2:R284=R284)*($A$2:A284&lt;&gt;"")))</f>
        <v/>
      </c>
      <c r="U284" s="10" t="str">
        <f aca="false">IF(A284="","",R284&amp;"|"&amp;T284)</f>
        <v/>
      </c>
      <c r="V284" s="10" t="str">
        <f aca="false">IF(G284="","",TEXT(G284,"mm/yyyy"))</f>
        <v/>
      </c>
      <c r="W284" s="10" t="str">
        <f aca="false">IF(P284="","",TEXT(P284,"mm/yyyy"))</f>
        <v/>
      </c>
      <c r="X284" s="10" t="str">
        <f aca="false">IF(A284="","",IF(OR(R284="Fechado (Total)",R284="Fechado (Parcial)"),"Fechado|"&amp;SUMPRODUCT((($R$2:R284="Fechado (Total)")+($R$2:R284="Fechado (Parcial)"))*($A$2:A284&lt;&gt;"")),""))</f>
        <v/>
      </c>
      <c r="Y284" s="10" t="str">
        <f aca="false">IF(A284="","",IF(D284="Indicação",SUMPRODUCT(($D$2:D284="Indicação")*($A$2:A284&lt;&gt;"")),""))</f>
        <v/>
      </c>
      <c r="Z284" s="10" t="str">
        <f aca="false">IF(Y284="","","Indicacao|"&amp;Y284)</f>
        <v/>
      </c>
      <c r="AA284" s="10" t="str">
        <f aca="false">IF(I284="","",TEXT(I284,"mm/yyyy"))</f>
        <v/>
      </c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8"/>
      <c r="H285" s="6"/>
      <c r="I285" s="8"/>
      <c r="J285" s="6"/>
      <c r="K285" s="6"/>
      <c r="L285" s="6"/>
      <c r="M285" s="7"/>
      <c r="N285" s="6"/>
      <c r="O285" s="7"/>
      <c r="P285" s="8"/>
      <c r="Q285" s="4"/>
      <c r="R285" s="9" t="str">
        <f aca="false">IF(N285="Sim","Fechado (Total)",IF(N285="Parcial","Fechado (Parcial)",IF(N285="Não","Perdido",IF(N285="Pendente","Pendente",IF(N285="Não precisa no momento","Não Precisa no Momento",IF(L285="Sim","Plano de Tratamento",IF(J285="Não","Não Compareceu",IF(J285="Sim","Compareceu",IF(H285="Não","Perdido",IF(H285="Sim","Consulta Marcada",IF(A285="","","Novo Paciente")))))))))))</f>
        <v/>
      </c>
      <c r="S285" s="4"/>
      <c r="T285" s="10" t="str">
        <f aca="false">IF(A285="","",SUMPRODUCT(($R$2:R285=R285)*($A$2:A285&lt;&gt;"")))</f>
        <v/>
      </c>
      <c r="U285" s="10" t="str">
        <f aca="false">IF(A285="","",R285&amp;"|"&amp;T285)</f>
        <v/>
      </c>
      <c r="V285" s="10" t="str">
        <f aca="false">IF(G285="","",TEXT(G285,"mm/yyyy"))</f>
        <v/>
      </c>
      <c r="W285" s="10" t="str">
        <f aca="false">IF(P285="","",TEXT(P285,"mm/yyyy"))</f>
        <v/>
      </c>
      <c r="X285" s="10" t="str">
        <f aca="false">IF(A285="","",IF(OR(R285="Fechado (Total)",R285="Fechado (Parcial)"),"Fechado|"&amp;SUMPRODUCT((($R$2:R285="Fechado (Total)")+($R$2:R285="Fechado (Parcial)"))*($A$2:A285&lt;&gt;"")),""))</f>
        <v/>
      </c>
      <c r="Y285" s="10" t="str">
        <f aca="false">IF(A285="","",IF(D285="Indicação",SUMPRODUCT(($D$2:D285="Indicação")*($A$2:A285&lt;&gt;"")),""))</f>
        <v/>
      </c>
      <c r="Z285" s="10" t="str">
        <f aca="false">IF(Y285="","","Indicacao|"&amp;Y285)</f>
        <v/>
      </c>
      <c r="AA285" s="10" t="str">
        <f aca="false">IF(I285="","",TEXT(I285,"mm/yyyy"))</f>
        <v/>
      </c>
    </row>
    <row r="286" customFormat="false" ht="15" hidden="false" customHeight="true" outlineLevel="0" collapsed="false">
      <c r="A286" s="4"/>
      <c r="B286" s="4"/>
      <c r="C286" s="4"/>
      <c r="D286" s="4"/>
      <c r="E286" s="4"/>
      <c r="F286" s="4"/>
      <c r="G286" s="8"/>
      <c r="H286" s="6"/>
      <c r="I286" s="8"/>
      <c r="J286" s="6"/>
      <c r="K286" s="6"/>
      <c r="L286" s="6"/>
      <c r="M286" s="7"/>
      <c r="N286" s="6"/>
      <c r="O286" s="7"/>
      <c r="P286" s="8"/>
      <c r="Q286" s="4"/>
      <c r="R286" s="9" t="str">
        <f aca="false">IF(N286="Sim","Fechado (Total)",IF(N286="Parcial","Fechado (Parcial)",IF(N286="Não","Perdido",IF(N286="Pendente","Pendente",IF(N286="Não precisa no momento","Não Precisa no Momento",IF(L286="Sim","Plano de Tratamento",IF(J286="Não","Não Compareceu",IF(J286="Sim","Compareceu",IF(H286="Não","Perdido",IF(H286="Sim","Consulta Marcada",IF(A286="","","Novo Paciente")))))))))))</f>
        <v/>
      </c>
      <c r="S286" s="4"/>
      <c r="T286" s="10" t="str">
        <f aca="false">IF(A286="","",SUMPRODUCT(($R$2:R286=R286)*($A$2:A286&lt;&gt;"")))</f>
        <v/>
      </c>
      <c r="U286" s="10" t="str">
        <f aca="false">IF(A286="","",R286&amp;"|"&amp;T286)</f>
        <v/>
      </c>
      <c r="V286" s="10" t="str">
        <f aca="false">IF(G286="","",TEXT(G286,"mm/yyyy"))</f>
        <v/>
      </c>
      <c r="W286" s="10" t="str">
        <f aca="false">IF(P286="","",TEXT(P286,"mm/yyyy"))</f>
        <v/>
      </c>
      <c r="X286" s="10" t="str">
        <f aca="false">IF(A286="","",IF(OR(R286="Fechado (Total)",R286="Fechado (Parcial)"),"Fechado|"&amp;SUMPRODUCT((($R$2:R286="Fechado (Total)")+($R$2:R286="Fechado (Parcial)"))*($A$2:A286&lt;&gt;"")),""))</f>
        <v/>
      </c>
      <c r="Y286" s="10" t="str">
        <f aca="false">IF(A286="","",IF(D286="Indicação",SUMPRODUCT(($D$2:D286="Indicação")*($A$2:A286&lt;&gt;"")),""))</f>
        <v/>
      </c>
      <c r="Z286" s="10" t="str">
        <f aca="false">IF(Y286="","","Indicacao|"&amp;Y286)</f>
        <v/>
      </c>
      <c r="AA286" s="10" t="str">
        <f aca="false">IF(I286="","",TEXT(I286,"mm/yyyy"))</f>
        <v/>
      </c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8"/>
      <c r="H287" s="6"/>
      <c r="I287" s="8"/>
      <c r="J287" s="6"/>
      <c r="K287" s="6"/>
      <c r="L287" s="6"/>
      <c r="M287" s="7"/>
      <c r="N287" s="6"/>
      <c r="O287" s="7"/>
      <c r="P287" s="8"/>
      <c r="Q287" s="4"/>
      <c r="R287" s="9" t="str">
        <f aca="false">IF(N287="Sim","Fechado (Total)",IF(N287="Parcial","Fechado (Parcial)",IF(N287="Não","Perdido",IF(N287="Pendente","Pendente",IF(N287="Não precisa no momento","Não Precisa no Momento",IF(L287="Sim","Plano de Tratamento",IF(J287="Não","Não Compareceu",IF(J287="Sim","Compareceu",IF(H287="Não","Perdido",IF(H287="Sim","Consulta Marcada",IF(A287="","","Novo Paciente")))))))))))</f>
        <v/>
      </c>
      <c r="S287" s="4"/>
      <c r="T287" s="10" t="str">
        <f aca="false">IF(A287="","",SUMPRODUCT(($R$2:R287=R287)*($A$2:A287&lt;&gt;"")))</f>
        <v/>
      </c>
      <c r="U287" s="10" t="str">
        <f aca="false">IF(A287="","",R287&amp;"|"&amp;T287)</f>
        <v/>
      </c>
      <c r="V287" s="10" t="str">
        <f aca="false">IF(G287="","",TEXT(G287,"mm/yyyy"))</f>
        <v/>
      </c>
      <c r="W287" s="10" t="str">
        <f aca="false">IF(P287="","",TEXT(P287,"mm/yyyy"))</f>
        <v/>
      </c>
      <c r="X287" s="10" t="str">
        <f aca="false">IF(A287="","",IF(OR(R287="Fechado (Total)",R287="Fechado (Parcial)"),"Fechado|"&amp;SUMPRODUCT((($R$2:R287="Fechado (Total)")+($R$2:R287="Fechado (Parcial)"))*($A$2:A287&lt;&gt;"")),""))</f>
        <v/>
      </c>
      <c r="Y287" s="10" t="str">
        <f aca="false">IF(A287="","",IF(D287="Indicação",SUMPRODUCT(($D$2:D287="Indicação")*($A$2:A287&lt;&gt;"")),""))</f>
        <v/>
      </c>
      <c r="Z287" s="10" t="str">
        <f aca="false">IF(Y287="","","Indicacao|"&amp;Y287)</f>
        <v/>
      </c>
      <c r="AA287" s="10" t="str">
        <f aca="false">IF(I287="","",TEXT(I287,"mm/yyyy"))</f>
        <v/>
      </c>
    </row>
    <row r="288" customFormat="false" ht="15" hidden="false" customHeight="true" outlineLevel="0" collapsed="false">
      <c r="A288" s="4"/>
      <c r="B288" s="4"/>
      <c r="C288" s="4"/>
      <c r="D288" s="4"/>
      <c r="E288" s="4"/>
      <c r="F288" s="4"/>
      <c r="G288" s="8"/>
      <c r="H288" s="6"/>
      <c r="I288" s="8"/>
      <c r="J288" s="6"/>
      <c r="K288" s="6"/>
      <c r="L288" s="6"/>
      <c r="M288" s="7"/>
      <c r="N288" s="6"/>
      <c r="O288" s="7"/>
      <c r="P288" s="8"/>
      <c r="Q288" s="4"/>
      <c r="R288" s="9" t="str">
        <f aca="false">IF(N288="Sim","Fechado (Total)",IF(N288="Parcial","Fechado (Parcial)",IF(N288="Não","Perdido",IF(N288="Pendente","Pendente",IF(N288="Não precisa no momento","Não Precisa no Momento",IF(L288="Sim","Plano de Tratamento",IF(J288="Não","Não Compareceu",IF(J288="Sim","Compareceu",IF(H288="Não","Perdido",IF(H288="Sim","Consulta Marcada",IF(A288="","","Novo Paciente")))))))))))</f>
        <v/>
      </c>
      <c r="S288" s="4"/>
      <c r="T288" s="10" t="str">
        <f aca="false">IF(A288="","",SUMPRODUCT(($R$2:R288=R288)*($A$2:A288&lt;&gt;"")))</f>
        <v/>
      </c>
      <c r="U288" s="10" t="str">
        <f aca="false">IF(A288="","",R288&amp;"|"&amp;T288)</f>
        <v/>
      </c>
      <c r="V288" s="10" t="str">
        <f aca="false">IF(G288="","",TEXT(G288,"mm/yyyy"))</f>
        <v/>
      </c>
      <c r="W288" s="10" t="str">
        <f aca="false">IF(P288="","",TEXT(P288,"mm/yyyy"))</f>
        <v/>
      </c>
      <c r="X288" s="10" t="str">
        <f aca="false">IF(A288="","",IF(OR(R288="Fechado (Total)",R288="Fechado (Parcial)"),"Fechado|"&amp;SUMPRODUCT((($R$2:R288="Fechado (Total)")+($R$2:R288="Fechado (Parcial)"))*($A$2:A288&lt;&gt;"")),""))</f>
        <v/>
      </c>
      <c r="Y288" s="10" t="str">
        <f aca="false">IF(A288="","",IF(D288="Indicação",SUMPRODUCT(($D$2:D288="Indicação")*($A$2:A288&lt;&gt;"")),""))</f>
        <v/>
      </c>
      <c r="Z288" s="10" t="str">
        <f aca="false">IF(Y288="","","Indicacao|"&amp;Y288)</f>
        <v/>
      </c>
      <c r="AA288" s="10" t="str">
        <f aca="false">IF(I288="","",TEXT(I288,"mm/yyyy"))</f>
        <v/>
      </c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8"/>
      <c r="H289" s="6"/>
      <c r="I289" s="8"/>
      <c r="J289" s="6"/>
      <c r="K289" s="6"/>
      <c r="L289" s="6"/>
      <c r="M289" s="7"/>
      <c r="N289" s="6"/>
      <c r="O289" s="7"/>
      <c r="P289" s="8"/>
      <c r="Q289" s="4"/>
      <c r="R289" s="9" t="str">
        <f aca="false">IF(N289="Sim","Fechado (Total)",IF(N289="Parcial","Fechado (Parcial)",IF(N289="Não","Perdido",IF(N289="Pendente","Pendente",IF(N289="Não precisa no momento","Não Precisa no Momento",IF(L289="Sim","Plano de Tratamento",IF(J289="Não","Não Compareceu",IF(J289="Sim","Compareceu",IF(H289="Não","Perdido",IF(H289="Sim","Consulta Marcada",IF(A289="","","Novo Paciente")))))))))))</f>
        <v/>
      </c>
      <c r="S289" s="4"/>
      <c r="T289" s="10" t="str">
        <f aca="false">IF(A289="","",SUMPRODUCT(($R$2:R289=R289)*($A$2:A289&lt;&gt;"")))</f>
        <v/>
      </c>
      <c r="U289" s="10" t="str">
        <f aca="false">IF(A289="","",R289&amp;"|"&amp;T289)</f>
        <v/>
      </c>
      <c r="V289" s="10" t="str">
        <f aca="false">IF(G289="","",TEXT(G289,"mm/yyyy"))</f>
        <v/>
      </c>
      <c r="W289" s="10" t="str">
        <f aca="false">IF(P289="","",TEXT(P289,"mm/yyyy"))</f>
        <v/>
      </c>
      <c r="X289" s="10" t="str">
        <f aca="false">IF(A289="","",IF(OR(R289="Fechado (Total)",R289="Fechado (Parcial)"),"Fechado|"&amp;SUMPRODUCT((($R$2:R289="Fechado (Total)")+($R$2:R289="Fechado (Parcial)"))*($A$2:A289&lt;&gt;"")),""))</f>
        <v/>
      </c>
      <c r="Y289" s="10" t="str">
        <f aca="false">IF(A289="","",IF(D289="Indicação",SUMPRODUCT(($D$2:D289="Indicação")*($A$2:A289&lt;&gt;"")),""))</f>
        <v/>
      </c>
      <c r="Z289" s="10" t="str">
        <f aca="false">IF(Y289="","","Indicacao|"&amp;Y289)</f>
        <v/>
      </c>
      <c r="AA289" s="10" t="str">
        <f aca="false">IF(I289="","",TEXT(I289,"mm/yyyy"))</f>
        <v/>
      </c>
    </row>
    <row r="290" customFormat="false" ht="15" hidden="false" customHeight="true" outlineLevel="0" collapsed="false">
      <c r="A290" s="4"/>
      <c r="B290" s="4"/>
      <c r="C290" s="4"/>
      <c r="D290" s="4"/>
      <c r="E290" s="4"/>
      <c r="F290" s="4"/>
      <c r="G290" s="8"/>
      <c r="H290" s="6"/>
      <c r="I290" s="8"/>
      <c r="J290" s="6"/>
      <c r="K290" s="6"/>
      <c r="L290" s="6"/>
      <c r="M290" s="7"/>
      <c r="N290" s="6"/>
      <c r="O290" s="7"/>
      <c r="P290" s="8"/>
      <c r="Q290" s="4"/>
      <c r="R290" s="9" t="str">
        <f aca="false">IF(N290="Sim","Fechado (Total)",IF(N290="Parcial","Fechado (Parcial)",IF(N290="Não","Perdido",IF(N290="Pendente","Pendente",IF(N290="Não precisa no momento","Não Precisa no Momento",IF(L290="Sim","Plano de Tratamento",IF(J290="Não","Não Compareceu",IF(J290="Sim","Compareceu",IF(H290="Não","Perdido",IF(H290="Sim","Consulta Marcada",IF(A290="","","Novo Paciente")))))))))))</f>
        <v/>
      </c>
      <c r="S290" s="4"/>
      <c r="T290" s="10" t="str">
        <f aca="false">IF(A290="","",SUMPRODUCT(($R$2:R290=R290)*($A$2:A290&lt;&gt;"")))</f>
        <v/>
      </c>
      <c r="U290" s="10" t="str">
        <f aca="false">IF(A290="","",R290&amp;"|"&amp;T290)</f>
        <v/>
      </c>
      <c r="V290" s="10" t="str">
        <f aca="false">IF(G290="","",TEXT(G290,"mm/yyyy"))</f>
        <v/>
      </c>
      <c r="W290" s="10" t="str">
        <f aca="false">IF(P290="","",TEXT(P290,"mm/yyyy"))</f>
        <v/>
      </c>
      <c r="X290" s="10" t="str">
        <f aca="false">IF(A290="","",IF(OR(R290="Fechado (Total)",R290="Fechado (Parcial)"),"Fechado|"&amp;SUMPRODUCT((($R$2:R290="Fechado (Total)")+($R$2:R290="Fechado (Parcial)"))*($A$2:A290&lt;&gt;"")),""))</f>
        <v/>
      </c>
      <c r="Y290" s="10" t="str">
        <f aca="false">IF(A290="","",IF(D290="Indicação",SUMPRODUCT(($D$2:D290="Indicação")*($A$2:A290&lt;&gt;"")),""))</f>
        <v/>
      </c>
      <c r="Z290" s="10" t="str">
        <f aca="false">IF(Y290="","","Indicacao|"&amp;Y290)</f>
        <v/>
      </c>
      <c r="AA290" s="10" t="str">
        <f aca="false">IF(I290="","",TEXT(I290,"mm/yyyy"))</f>
        <v/>
      </c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8"/>
      <c r="H291" s="6"/>
      <c r="I291" s="8"/>
      <c r="J291" s="6"/>
      <c r="K291" s="6"/>
      <c r="L291" s="6"/>
      <c r="M291" s="7"/>
      <c r="N291" s="6"/>
      <c r="O291" s="7"/>
      <c r="P291" s="8"/>
      <c r="Q291" s="4"/>
      <c r="R291" s="9" t="str">
        <f aca="false">IF(N291="Sim","Fechado (Total)",IF(N291="Parcial","Fechado (Parcial)",IF(N291="Não","Perdido",IF(N291="Pendente","Pendente",IF(N291="Não precisa no momento","Não Precisa no Momento",IF(L291="Sim","Plano de Tratamento",IF(J291="Não","Não Compareceu",IF(J291="Sim","Compareceu",IF(H291="Não","Perdido",IF(H291="Sim","Consulta Marcada",IF(A291="","","Novo Paciente")))))))))))</f>
        <v/>
      </c>
      <c r="S291" s="4"/>
      <c r="T291" s="10" t="str">
        <f aca="false">IF(A291="","",SUMPRODUCT(($R$2:R291=R291)*($A$2:A291&lt;&gt;"")))</f>
        <v/>
      </c>
      <c r="U291" s="10" t="str">
        <f aca="false">IF(A291="","",R291&amp;"|"&amp;T291)</f>
        <v/>
      </c>
      <c r="V291" s="10" t="str">
        <f aca="false">IF(G291="","",TEXT(G291,"mm/yyyy"))</f>
        <v/>
      </c>
      <c r="W291" s="10" t="str">
        <f aca="false">IF(P291="","",TEXT(P291,"mm/yyyy"))</f>
        <v/>
      </c>
      <c r="X291" s="10" t="str">
        <f aca="false">IF(A291="","",IF(OR(R291="Fechado (Total)",R291="Fechado (Parcial)"),"Fechado|"&amp;SUMPRODUCT((($R$2:R291="Fechado (Total)")+($R$2:R291="Fechado (Parcial)"))*($A$2:A291&lt;&gt;"")),""))</f>
        <v/>
      </c>
      <c r="Y291" s="10" t="str">
        <f aca="false">IF(A291="","",IF(D291="Indicação",SUMPRODUCT(($D$2:D291="Indicação")*($A$2:A291&lt;&gt;"")),""))</f>
        <v/>
      </c>
      <c r="Z291" s="10" t="str">
        <f aca="false">IF(Y291="","","Indicacao|"&amp;Y291)</f>
        <v/>
      </c>
      <c r="AA291" s="10" t="str">
        <f aca="false">IF(I291="","",TEXT(I291,"mm/yyyy"))</f>
        <v/>
      </c>
    </row>
    <row r="292" customFormat="false" ht="15" hidden="false" customHeight="true" outlineLevel="0" collapsed="false">
      <c r="A292" s="4"/>
      <c r="B292" s="4"/>
      <c r="C292" s="4"/>
      <c r="D292" s="4"/>
      <c r="E292" s="4"/>
      <c r="F292" s="4"/>
      <c r="G292" s="8"/>
      <c r="H292" s="6"/>
      <c r="I292" s="8"/>
      <c r="J292" s="6"/>
      <c r="K292" s="6"/>
      <c r="L292" s="6"/>
      <c r="M292" s="7"/>
      <c r="N292" s="6"/>
      <c r="O292" s="7"/>
      <c r="P292" s="8"/>
      <c r="Q292" s="4"/>
      <c r="R292" s="9" t="str">
        <f aca="false">IF(N292="Sim","Fechado (Total)",IF(N292="Parcial","Fechado (Parcial)",IF(N292="Não","Perdido",IF(N292="Pendente","Pendente",IF(N292="Não precisa no momento","Não Precisa no Momento",IF(L292="Sim","Plano de Tratamento",IF(J292="Não","Não Compareceu",IF(J292="Sim","Compareceu",IF(H292="Não","Perdido",IF(H292="Sim","Consulta Marcada",IF(A292="","","Novo Paciente")))))))))))</f>
        <v/>
      </c>
      <c r="S292" s="4"/>
      <c r="T292" s="10" t="str">
        <f aca="false">IF(A292="","",SUMPRODUCT(($R$2:R292=R292)*($A$2:A292&lt;&gt;"")))</f>
        <v/>
      </c>
      <c r="U292" s="10" t="str">
        <f aca="false">IF(A292="","",R292&amp;"|"&amp;T292)</f>
        <v/>
      </c>
      <c r="V292" s="10" t="str">
        <f aca="false">IF(G292="","",TEXT(G292,"mm/yyyy"))</f>
        <v/>
      </c>
      <c r="W292" s="10" t="str">
        <f aca="false">IF(P292="","",TEXT(P292,"mm/yyyy"))</f>
        <v/>
      </c>
      <c r="X292" s="10" t="str">
        <f aca="false">IF(A292="","",IF(OR(R292="Fechado (Total)",R292="Fechado (Parcial)"),"Fechado|"&amp;SUMPRODUCT((($R$2:R292="Fechado (Total)")+($R$2:R292="Fechado (Parcial)"))*($A$2:A292&lt;&gt;"")),""))</f>
        <v/>
      </c>
      <c r="Y292" s="10" t="str">
        <f aca="false">IF(A292="","",IF(D292="Indicação",SUMPRODUCT(($D$2:D292="Indicação")*($A$2:A292&lt;&gt;"")),""))</f>
        <v/>
      </c>
      <c r="Z292" s="10" t="str">
        <f aca="false">IF(Y292="","","Indicacao|"&amp;Y292)</f>
        <v/>
      </c>
      <c r="AA292" s="10" t="str">
        <f aca="false">IF(I292="","",TEXT(I292,"mm/yyyy"))</f>
        <v/>
      </c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8"/>
      <c r="H293" s="6"/>
      <c r="I293" s="8"/>
      <c r="J293" s="6"/>
      <c r="K293" s="6"/>
      <c r="L293" s="6"/>
      <c r="M293" s="7"/>
      <c r="N293" s="6"/>
      <c r="O293" s="7"/>
      <c r="P293" s="8"/>
      <c r="Q293" s="4"/>
      <c r="R293" s="9" t="str">
        <f aca="false">IF(N293="Sim","Fechado (Total)",IF(N293="Parcial","Fechado (Parcial)",IF(N293="Não","Perdido",IF(N293="Pendente","Pendente",IF(N293="Não precisa no momento","Não Precisa no Momento",IF(L293="Sim","Plano de Tratamento",IF(J293="Não","Não Compareceu",IF(J293="Sim","Compareceu",IF(H293="Não","Perdido",IF(H293="Sim","Consulta Marcada",IF(A293="","","Novo Paciente")))))))))))</f>
        <v/>
      </c>
      <c r="S293" s="4"/>
      <c r="T293" s="10" t="str">
        <f aca="false">IF(A293="","",SUMPRODUCT(($R$2:R293=R293)*($A$2:A293&lt;&gt;"")))</f>
        <v/>
      </c>
      <c r="U293" s="10" t="str">
        <f aca="false">IF(A293="","",R293&amp;"|"&amp;T293)</f>
        <v/>
      </c>
      <c r="V293" s="10" t="str">
        <f aca="false">IF(G293="","",TEXT(G293,"mm/yyyy"))</f>
        <v/>
      </c>
      <c r="W293" s="10" t="str">
        <f aca="false">IF(P293="","",TEXT(P293,"mm/yyyy"))</f>
        <v/>
      </c>
      <c r="X293" s="10" t="str">
        <f aca="false">IF(A293="","",IF(OR(R293="Fechado (Total)",R293="Fechado (Parcial)"),"Fechado|"&amp;SUMPRODUCT((($R$2:R293="Fechado (Total)")+($R$2:R293="Fechado (Parcial)"))*($A$2:A293&lt;&gt;"")),""))</f>
        <v/>
      </c>
      <c r="Y293" s="10" t="str">
        <f aca="false">IF(A293="","",IF(D293="Indicação",SUMPRODUCT(($D$2:D293="Indicação")*($A$2:A293&lt;&gt;"")),""))</f>
        <v/>
      </c>
      <c r="Z293" s="10" t="str">
        <f aca="false">IF(Y293="","","Indicacao|"&amp;Y293)</f>
        <v/>
      </c>
      <c r="AA293" s="10" t="str">
        <f aca="false">IF(I293="","",TEXT(I293,"mm/yyyy"))</f>
        <v/>
      </c>
    </row>
    <row r="294" customFormat="false" ht="15" hidden="false" customHeight="true" outlineLevel="0" collapsed="false">
      <c r="A294" s="4"/>
      <c r="B294" s="4"/>
      <c r="C294" s="4"/>
      <c r="D294" s="4"/>
      <c r="E294" s="4"/>
      <c r="F294" s="4"/>
      <c r="G294" s="8"/>
      <c r="H294" s="6"/>
      <c r="I294" s="8"/>
      <c r="J294" s="6"/>
      <c r="K294" s="6"/>
      <c r="L294" s="6"/>
      <c r="M294" s="7"/>
      <c r="N294" s="6"/>
      <c r="O294" s="7"/>
      <c r="P294" s="8"/>
      <c r="Q294" s="4"/>
      <c r="R294" s="9" t="str">
        <f aca="false">IF(N294="Sim","Fechado (Total)",IF(N294="Parcial","Fechado (Parcial)",IF(N294="Não","Perdido",IF(N294="Pendente","Pendente",IF(N294="Não precisa no momento","Não Precisa no Momento",IF(L294="Sim","Plano de Tratamento",IF(J294="Não","Não Compareceu",IF(J294="Sim","Compareceu",IF(H294="Não","Perdido",IF(H294="Sim","Consulta Marcada",IF(A294="","","Novo Paciente")))))))))))</f>
        <v/>
      </c>
      <c r="S294" s="4"/>
      <c r="T294" s="10" t="str">
        <f aca="false">IF(A294="","",SUMPRODUCT(($R$2:R294=R294)*($A$2:A294&lt;&gt;"")))</f>
        <v/>
      </c>
      <c r="U294" s="10" t="str">
        <f aca="false">IF(A294="","",R294&amp;"|"&amp;T294)</f>
        <v/>
      </c>
      <c r="V294" s="10" t="str">
        <f aca="false">IF(G294="","",TEXT(G294,"mm/yyyy"))</f>
        <v/>
      </c>
      <c r="W294" s="10" t="str">
        <f aca="false">IF(P294="","",TEXT(P294,"mm/yyyy"))</f>
        <v/>
      </c>
      <c r="X294" s="10" t="str">
        <f aca="false">IF(A294="","",IF(OR(R294="Fechado (Total)",R294="Fechado (Parcial)"),"Fechado|"&amp;SUMPRODUCT((($R$2:R294="Fechado (Total)")+($R$2:R294="Fechado (Parcial)"))*($A$2:A294&lt;&gt;"")),""))</f>
        <v/>
      </c>
      <c r="Y294" s="10" t="str">
        <f aca="false">IF(A294="","",IF(D294="Indicação",SUMPRODUCT(($D$2:D294="Indicação")*($A$2:A294&lt;&gt;"")),""))</f>
        <v/>
      </c>
      <c r="Z294" s="10" t="str">
        <f aca="false">IF(Y294="","","Indicacao|"&amp;Y294)</f>
        <v/>
      </c>
      <c r="AA294" s="10" t="str">
        <f aca="false">IF(I294="","",TEXT(I294,"mm/yyyy"))</f>
        <v/>
      </c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8"/>
      <c r="H295" s="6"/>
      <c r="I295" s="8"/>
      <c r="J295" s="6"/>
      <c r="K295" s="6"/>
      <c r="L295" s="6"/>
      <c r="M295" s="7"/>
      <c r="N295" s="6"/>
      <c r="O295" s="7"/>
      <c r="P295" s="8"/>
      <c r="Q295" s="4"/>
      <c r="R295" s="9" t="str">
        <f aca="false">IF(N295="Sim","Fechado (Total)",IF(N295="Parcial","Fechado (Parcial)",IF(N295="Não","Perdido",IF(N295="Pendente","Pendente",IF(N295="Não precisa no momento","Não Precisa no Momento",IF(L295="Sim","Plano de Tratamento",IF(J295="Não","Não Compareceu",IF(J295="Sim","Compareceu",IF(H295="Não","Perdido",IF(H295="Sim","Consulta Marcada",IF(A295="","","Novo Paciente")))))))))))</f>
        <v/>
      </c>
      <c r="S295" s="4"/>
      <c r="T295" s="10" t="str">
        <f aca="false">IF(A295="","",SUMPRODUCT(($R$2:R295=R295)*($A$2:A295&lt;&gt;"")))</f>
        <v/>
      </c>
      <c r="U295" s="10" t="str">
        <f aca="false">IF(A295="","",R295&amp;"|"&amp;T295)</f>
        <v/>
      </c>
      <c r="V295" s="10" t="str">
        <f aca="false">IF(G295="","",TEXT(G295,"mm/yyyy"))</f>
        <v/>
      </c>
      <c r="W295" s="10" t="str">
        <f aca="false">IF(P295="","",TEXT(P295,"mm/yyyy"))</f>
        <v/>
      </c>
      <c r="X295" s="10" t="str">
        <f aca="false">IF(A295="","",IF(OR(R295="Fechado (Total)",R295="Fechado (Parcial)"),"Fechado|"&amp;SUMPRODUCT((($R$2:R295="Fechado (Total)")+($R$2:R295="Fechado (Parcial)"))*($A$2:A295&lt;&gt;"")),""))</f>
        <v/>
      </c>
      <c r="Y295" s="10" t="str">
        <f aca="false">IF(A295="","",IF(D295="Indicação",SUMPRODUCT(($D$2:D295="Indicação")*($A$2:A295&lt;&gt;"")),""))</f>
        <v/>
      </c>
      <c r="Z295" s="10" t="str">
        <f aca="false">IF(Y295="","","Indicacao|"&amp;Y295)</f>
        <v/>
      </c>
      <c r="AA295" s="10" t="str">
        <f aca="false">IF(I295="","",TEXT(I295,"mm/yyyy"))</f>
        <v/>
      </c>
    </row>
    <row r="296" customFormat="false" ht="15" hidden="false" customHeight="true" outlineLevel="0" collapsed="false">
      <c r="A296" s="4"/>
      <c r="B296" s="4"/>
      <c r="C296" s="4"/>
      <c r="D296" s="4"/>
      <c r="E296" s="4"/>
      <c r="F296" s="4"/>
      <c r="G296" s="8"/>
      <c r="H296" s="6"/>
      <c r="I296" s="8"/>
      <c r="J296" s="6"/>
      <c r="K296" s="6"/>
      <c r="L296" s="6"/>
      <c r="M296" s="7"/>
      <c r="N296" s="6"/>
      <c r="O296" s="7"/>
      <c r="P296" s="8"/>
      <c r="Q296" s="4"/>
      <c r="R296" s="9" t="str">
        <f aca="false">IF(N296="Sim","Fechado (Total)",IF(N296="Parcial","Fechado (Parcial)",IF(N296="Não","Perdido",IF(N296="Pendente","Pendente",IF(N296="Não precisa no momento","Não Precisa no Momento",IF(L296="Sim","Plano de Tratamento",IF(J296="Não","Não Compareceu",IF(J296="Sim","Compareceu",IF(H296="Não","Perdido",IF(H296="Sim","Consulta Marcada",IF(A296="","","Novo Paciente")))))))))))</f>
        <v/>
      </c>
      <c r="S296" s="4"/>
      <c r="T296" s="10" t="str">
        <f aca="false">IF(A296="","",SUMPRODUCT(($R$2:R296=R296)*($A$2:A296&lt;&gt;"")))</f>
        <v/>
      </c>
      <c r="U296" s="10" t="str">
        <f aca="false">IF(A296="","",R296&amp;"|"&amp;T296)</f>
        <v/>
      </c>
      <c r="V296" s="10" t="str">
        <f aca="false">IF(G296="","",TEXT(G296,"mm/yyyy"))</f>
        <v/>
      </c>
      <c r="W296" s="10" t="str">
        <f aca="false">IF(P296="","",TEXT(P296,"mm/yyyy"))</f>
        <v/>
      </c>
      <c r="X296" s="10" t="str">
        <f aca="false">IF(A296="","",IF(OR(R296="Fechado (Total)",R296="Fechado (Parcial)"),"Fechado|"&amp;SUMPRODUCT((($R$2:R296="Fechado (Total)")+($R$2:R296="Fechado (Parcial)"))*($A$2:A296&lt;&gt;"")),""))</f>
        <v/>
      </c>
      <c r="Y296" s="10" t="str">
        <f aca="false">IF(A296="","",IF(D296="Indicação",SUMPRODUCT(($D$2:D296="Indicação")*($A$2:A296&lt;&gt;"")),""))</f>
        <v/>
      </c>
      <c r="Z296" s="10" t="str">
        <f aca="false">IF(Y296="","","Indicacao|"&amp;Y296)</f>
        <v/>
      </c>
      <c r="AA296" s="10" t="str">
        <f aca="false">IF(I296="","",TEXT(I296,"mm/yyyy"))</f>
        <v/>
      </c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8"/>
      <c r="H297" s="6"/>
      <c r="I297" s="8"/>
      <c r="J297" s="6"/>
      <c r="K297" s="6"/>
      <c r="L297" s="6"/>
      <c r="M297" s="7"/>
      <c r="N297" s="6"/>
      <c r="O297" s="7"/>
      <c r="P297" s="8"/>
      <c r="Q297" s="4"/>
      <c r="R297" s="9" t="str">
        <f aca="false">IF(N297="Sim","Fechado (Total)",IF(N297="Parcial","Fechado (Parcial)",IF(N297="Não","Perdido",IF(N297="Pendente","Pendente",IF(N297="Não precisa no momento","Não Precisa no Momento",IF(L297="Sim","Plano de Tratamento",IF(J297="Não","Não Compareceu",IF(J297="Sim","Compareceu",IF(H297="Não","Perdido",IF(H297="Sim","Consulta Marcada",IF(A297="","","Novo Paciente")))))))))))</f>
        <v/>
      </c>
      <c r="S297" s="4"/>
      <c r="T297" s="10" t="str">
        <f aca="false">IF(A297="","",SUMPRODUCT(($R$2:R297=R297)*($A$2:A297&lt;&gt;"")))</f>
        <v/>
      </c>
      <c r="U297" s="10" t="str">
        <f aca="false">IF(A297="","",R297&amp;"|"&amp;T297)</f>
        <v/>
      </c>
      <c r="V297" s="10" t="str">
        <f aca="false">IF(G297="","",TEXT(G297,"mm/yyyy"))</f>
        <v/>
      </c>
      <c r="W297" s="10" t="str">
        <f aca="false">IF(P297="","",TEXT(P297,"mm/yyyy"))</f>
        <v/>
      </c>
      <c r="X297" s="10" t="str">
        <f aca="false">IF(A297="","",IF(OR(R297="Fechado (Total)",R297="Fechado (Parcial)"),"Fechado|"&amp;SUMPRODUCT((($R$2:R297="Fechado (Total)")+($R$2:R297="Fechado (Parcial)"))*($A$2:A297&lt;&gt;"")),""))</f>
        <v/>
      </c>
      <c r="Y297" s="10" t="str">
        <f aca="false">IF(A297="","",IF(D297="Indicação",SUMPRODUCT(($D$2:D297="Indicação")*($A$2:A297&lt;&gt;"")),""))</f>
        <v/>
      </c>
      <c r="Z297" s="10" t="str">
        <f aca="false">IF(Y297="","","Indicacao|"&amp;Y297)</f>
        <v/>
      </c>
      <c r="AA297" s="10" t="str">
        <f aca="false">IF(I297="","",TEXT(I297,"mm/yyyy"))</f>
        <v/>
      </c>
    </row>
    <row r="298" customFormat="false" ht="15" hidden="false" customHeight="true" outlineLevel="0" collapsed="false">
      <c r="A298" s="4"/>
      <c r="B298" s="4"/>
      <c r="C298" s="4"/>
      <c r="D298" s="4"/>
      <c r="E298" s="4"/>
      <c r="F298" s="4"/>
      <c r="G298" s="8"/>
      <c r="H298" s="6"/>
      <c r="I298" s="8"/>
      <c r="J298" s="6"/>
      <c r="K298" s="6"/>
      <c r="L298" s="6"/>
      <c r="M298" s="7"/>
      <c r="N298" s="6"/>
      <c r="O298" s="7"/>
      <c r="P298" s="8"/>
      <c r="Q298" s="4"/>
      <c r="R298" s="9" t="str">
        <f aca="false">IF(N298="Sim","Fechado (Total)",IF(N298="Parcial","Fechado (Parcial)",IF(N298="Não","Perdido",IF(N298="Pendente","Pendente",IF(N298="Não precisa no momento","Não Precisa no Momento",IF(L298="Sim","Plano de Tratamento",IF(J298="Não","Não Compareceu",IF(J298="Sim","Compareceu",IF(H298="Não","Perdido",IF(H298="Sim","Consulta Marcada",IF(A298="","","Novo Paciente")))))))))))</f>
        <v/>
      </c>
      <c r="S298" s="4"/>
      <c r="T298" s="10" t="str">
        <f aca="false">IF(A298="","",SUMPRODUCT(($R$2:R298=R298)*($A$2:A298&lt;&gt;"")))</f>
        <v/>
      </c>
      <c r="U298" s="10" t="str">
        <f aca="false">IF(A298="","",R298&amp;"|"&amp;T298)</f>
        <v/>
      </c>
      <c r="V298" s="10" t="str">
        <f aca="false">IF(G298="","",TEXT(G298,"mm/yyyy"))</f>
        <v/>
      </c>
      <c r="W298" s="10" t="str">
        <f aca="false">IF(P298="","",TEXT(P298,"mm/yyyy"))</f>
        <v/>
      </c>
      <c r="X298" s="10" t="str">
        <f aca="false">IF(A298="","",IF(OR(R298="Fechado (Total)",R298="Fechado (Parcial)"),"Fechado|"&amp;SUMPRODUCT((($R$2:R298="Fechado (Total)")+($R$2:R298="Fechado (Parcial)"))*($A$2:A298&lt;&gt;"")),""))</f>
        <v/>
      </c>
      <c r="Y298" s="10" t="str">
        <f aca="false">IF(A298="","",IF(D298="Indicação",SUMPRODUCT(($D$2:D298="Indicação")*($A$2:A298&lt;&gt;"")),""))</f>
        <v/>
      </c>
      <c r="Z298" s="10" t="str">
        <f aca="false">IF(Y298="","","Indicacao|"&amp;Y298)</f>
        <v/>
      </c>
      <c r="AA298" s="10" t="str">
        <f aca="false">IF(I298="","",TEXT(I298,"mm/yyyy"))</f>
        <v/>
      </c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8"/>
      <c r="H299" s="6"/>
      <c r="I299" s="8"/>
      <c r="J299" s="6"/>
      <c r="K299" s="6"/>
      <c r="L299" s="6"/>
      <c r="M299" s="7"/>
      <c r="N299" s="6"/>
      <c r="O299" s="7"/>
      <c r="P299" s="8"/>
      <c r="Q299" s="4"/>
      <c r="R299" s="9" t="str">
        <f aca="false">IF(N299="Sim","Fechado (Total)",IF(N299="Parcial","Fechado (Parcial)",IF(N299="Não","Perdido",IF(N299="Pendente","Pendente",IF(N299="Não precisa no momento","Não Precisa no Momento",IF(L299="Sim","Plano de Tratamento",IF(J299="Não","Não Compareceu",IF(J299="Sim","Compareceu",IF(H299="Não","Perdido",IF(H299="Sim","Consulta Marcada",IF(A299="","","Novo Paciente")))))))))))</f>
        <v/>
      </c>
      <c r="S299" s="4"/>
      <c r="T299" s="10" t="str">
        <f aca="false">IF(A299="","",SUMPRODUCT(($R$2:R299=R299)*($A$2:A299&lt;&gt;"")))</f>
        <v/>
      </c>
      <c r="U299" s="10" t="str">
        <f aca="false">IF(A299="","",R299&amp;"|"&amp;T299)</f>
        <v/>
      </c>
      <c r="V299" s="10" t="str">
        <f aca="false">IF(G299="","",TEXT(G299,"mm/yyyy"))</f>
        <v/>
      </c>
      <c r="W299" s="10" t="str">
        <f aca="false">IF(P299="","",TEXT(P299,"mm/yyyy"))</f>
        <v/>
      </c>
      <c r="X299" s="10" t="str">
        <f aca="false">IF(A299="","",IF(OR(R299="Fechado (Total)",R299="Fechado (Parcial)"),"Fechado|"&amp;SUMPRODUCT((($R$2:R299="Fechado (Total)")+($R$2:R299="Fechado (Parcial)"))*($A$2:A299&lt;&gt;"")),""))</f>
        <v/>
      </c>
      <c r="Y299" s="10" t="str">
        <f aca="false">IF(A299="","",IF(D299="Indicação",SUMPRODUCT(($D$2:D299="Indicação")*($A$2:A299&lt;&gt;"")),""))</f>
        <v/>
      </c>
      <c r="Z299" s="10" t="str">
        <f aca="false">IF(Y299="","","Indicacao|"&amp;Y299)</f>
        <v/>
      </c>
      <c r="AA299" s="10" t="str">
        <f aca="false">IF(I299="","",TEXT(I299,"mm/yyyy"))</f>
        <v/>
      </c>
    </row>
    <row r="300" customFormat="false" ht="15" hidden="false" customHeight="true" outlineLevel="0" collapsed="false">
      <c r="A300" s="4"/>
      <c r="B300" s="4"/>
      <c r="C300" s="4"/>
      <c r="D300" s="4"/>
      <c r="E300" s="4"/>
      <c r="F300" s="4"/>
      <c r="G300" s="8"/>
      <c r="H300" s="6"/>
      <c r="I300" s="8"/>
      <c r="J300" s="6"/>
      <c r="K300" s="6"/>
      <c r="L300" s="6"/>
      <c r="M300" s="7"/>
      <c r="N300" s="6"/>
      <c r="O300" s="7"/>
      <c r="P300" s="8"/>
      <c r="Q300" s="4"/>
      <c r="R300" s="9" t="str">
        <f aca="false">IF(N300="Sim","Fechado (Total)",IF(N300="Parcial","Fechado (Parcial)",IF(N300="Não","Perdido",IF(N300="Pendente","Pendente",IF(N300="Não precisa no momento","Não Precisa no Momento",IF(L300="Sim","Plano de Tratamento",IF(J300="Não","Não Compareceu",IF(J300="Sim","Compareceu",IF(H300="Não","Perdido",IF(H300="Sim","Consulta Marcada",IF(A300="","","Novo Paciente")))))))))))</f>
        <v/>
      </c>
      <c r="S300" s="4"/>
      <c r="T300" s="10" t="str">
        <f aca="false">IF(A300="","",SUMPRODUCT(($R$2:R300=R300)*($A$2:A300&lt;&gt;"")))</f>
        <v/>
      </c>
      <c r="U300" s="10" t="str">
        <f aca="false">IF(A300="","",R300&amp;"|"&amp;T300)</f>
        <v/>
      </c>
      <c r="V300" s="10" t="str">
        <f aca="false">IF(G300="","",TEXT(G300,"mm/yyyy"))</f>
        <v/>
      </c>
      <c r="W300" s="10" t="str">
        <f aca="false">IF(P300="","",TEXT(P300,"mm/yyyy"))</f>
        <v/>
      </c>
      <c r="X300" s="10" t="str">
        <f aca="false">IF(A300="","",IF(OR(R300="Fechado (Total)",R300="Fechado (Parcial)"),"Fechado|"&amp;SUMPRODUCT((($R$2:R300="Fechado (Total)")+($R$2:R300="Fechado (Parcial)"))*($A$2:A300&lt;&gt;"")),""))</f>
        <v/>
      </c>
      <c r="Y300" s="10" t="str">
        <f aca="false">IF(A300="","",IF(D300="Indicação",SUMPRODUCT(($D$2:D300="Indicação")*($A$2:A300&lt;&gt;"")),""))</f>
        <v/>
      </c>
      <c r="Z300" s="10" t="str">
        <f aca="false">IF(Y300="","","Indicacao|"&amp;Y300)</f>
        <v/>
      </c>
      <c r="AA300" s="10" t="str">
        <f aca="false">IF(I300="","",TEXT(I300,"mm/yyyy"))</f>
        <v/>
      </c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8"/>
      <c r="H301" s="6"/>
      <c r="I301" s="8"/>
      <c r="J301" s="6"/>
      <c r="K301" s="6"/>
      <c r="L301" s="6"/>
      <c r="M301" s="7"/>
      <c r="N301" s="6"/>
      <c r="O301" s="7"/>
      <c r="P301" s="8"/>
      <c r="Q301" s="4"/>
      <c r="R301" s="9" t="str">
        <f aca="false">IF(N301="Sim","Fechado (Total)",IF(N301="Parcial","Fechado (Parcial)",IF(N301="Não","Perdido",IF(N301="Pendente","Pendente",IF(N301="Não precisa no momento","Não Precisa no Momento",IF(L301="Sim","Plano de Tratamento",IF(J301="Não","Não Compareceu",IF(J301="Sim","Compareceu",IF(H301="Não","Perdido",IF(H301="Sim","Consulta Marcada",IF(A301="","","Novo Paciente")))))))))))</f>
        <v/>
      </c>
      <c r="S301" s="4"/>
      <c r="T301" s="10" t="str">
        <f aca="false">IF(A301="","",SUMPRODUCT(($R$2:R301=R301)*($A$2:A301&lt;&gt;"")))</f>
        <v/>
      </c>
      <c r="U301" s="10" t="str">
        <f aca="false">IF(A301="","",R301&amp;"|"&amp;T301)</f>
        <v/>
      </c>
      <c r="V301" s="10" t="str">
        <f aca="false">IF(G301="","",TEXT(G301,"mm/yyyy"))</f>
        <v/>
      </c>
      <c r="W301" s="10" t="str">
        <f aca="false">IF(P301="","",TEXT(P301,"mm/yyyy"))</f>
        <v/>
      </c>
      <c r="X301" s="10" t="str">
        <f aca="false">IF(A301="","",IF(OR(R301="Fechado (Total)",R301="Fechado (Parcial)"),"Fechado|"&amp;SUMPRODUCT((($R$2:R301="Fechado (Total)")+($R$2:R301="Fechado (Parcial)"))*($A$2:A301&lt;&gt;"")),""))</f>
        <v/>
      </c>
      <c r="Y301" s="10" t="str">
        <f aca="false">IF(A301="","",IF(D301="Indicação",SUMPRODUCT(($D$2:D301="Indicação")*($A$2:A301&lt;&gt;"")),""))</f>
        <v/>
      </c>
      <c r="Z301" s="10" t="str">
        <f aca="false">IF(Y301="","","Indicacao|"&amp;Y301)</f>
        <v/>
      </c>
      <c r="AA301" s="10" t="str">
        <f aca="false">IF(I301="","",TEXT(I301,"mm/yyyy"))</f>
        <v/>
      </c>
    </row>
    <row r="302" customFormat="false" ht="15" hidden="false" customHeight="true" outlineLevel="0" collapsed="false">
      <c r="A302" s="4"/>
      <c r="B302" s="4"/>
      <c r="C302" s="4"/>
      <c r="D302" s="4"/>
      <c r="E302" s="4"/>
      <c r="F302" s="4"/>
      <c r="G302" s="8"/>
      <c r="H302" s="6"/>
      <c r="I302" s="8"/>
      <c r="J302" s="6"/>
      <c r="K302" s="6"/>
      <c r="L302" s="6"/>
      <c r="M302" s="7"/>
      <c r="N302" s="6"/>
      <c r="O302" s="7"/>
      <c r="P302" s="8"/>
      <c r="Q302" s="4"/>
      <c r="R302" s="9" t="str">
        <f aca="false">IF(N302="Sim","Fechado (Total)",IF(N302="Parcial","Fechado (Parcial)",IF(N302="Não","Perdido",IF(N302="Pendente","Pendente",IF(N302="Não precisa no momento","Não Precisa no Momento",IF(L302="Sim","Plano de Tratamento",IF(J302="Não","Não Compareceu",IF(J302="Sim","Compareceu",IF(H302="Não","Perdido",IF(H302="Sim","Consulta Marcada",IF(A302="","","Novo Paciente")))))))))))</f>
        <v/>
      </c>
      <c r="S302" s="4"/>
      <c r="T302" s="10" t="str">
        <f aca="false">IF(A302="","",SUMPRODUCT(($R$2:R302=R302)*($A$2:A302&lt;&gt;"")))</f>
        <v/>
      </c>
      <c r="U302" s="10" t="str">
        <f aca="false">IF(A302="","",R302&amp;"|"&amp;T302)</f>
        <v/>
      </c>
      <c r="V302" s="10" t="str">
        <f aca="false">IF(G302="","",TEXT(G302,"mm/yyyy"))</f>
        <v/>
      </c>
      <c r="W302" s="10" t="str">
        <f aca="false">IF(P302="","",TEXT(P302,"mm/yyyy"))</f>
        <v/>
      </c>
      <c r="X302" s="10" t="str">
        <f aca="false">IF(A302="","",IF(OR(R302="Fechado (Total)",R302="Fechado (Parcial)"),"Fechado|"&amp;SUMPRODUCT((($R$2:R302="Fechado (Total)")+($R$2:R302="Fechado (Parcial)"))*($A$2:A302&lt;&gt;"")),""))</f>
        <v/>
      </c>
      <c r="Y302" s="10" t="str">
        <f aca="false">IF(A302="","",IF(D302="Indicação",SUMPRODUCT(($D$2:D302="Indicação")*($A$2:A302&lt;&gt;"")),""))</f>
        <v/>
      </c>
      <c r="Z302" s="10" t="str">
        <f aca="false">IF(Y302="","","Indicacao|"&amp;Y302)</f>
        <v/>
      </c>
      <c r="AA302" s="10" t="str">
        <f aca="false">IF(I302="","",TEXT(I302,"mm/yyyy"))</f>
        <v/>
      </c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8"/>
      <c r="H303" s="6"/>
      <c r="I303" s="8"/>
      <c r="J303" s="6"/>
      <c r="K303" s="6"/>
      <c r="L303" s="6"/>
      <c r="M303" s="7"/>
      <c r="N303" s="6"/>
      <c r="O303" s="7"/>
      <c r="P303" s="8"/>
      <c r="Q303" s="4"/>
      <c r="R303" s="9" t="str">
        <f aca="false">IF(N303="Sim","Fechado (Total)",IF(N303="Parcial","Fechado (Parcial)",IF(N303="Não","Perdido",IF(N303="Pendente","Pendente",IF(N303="Não precisa no momento","Não Precisa no Momento",IF(L303="Sim","Plano de Tratamento",IF(J303="Não","Não Compareceu",IF(J303="Sim","Compareceu",IF(H303="Não","Perdido",IF(H303="Sim","Consulta Marcada",IF(A303="","","Novo Paciente")))))))))))</f>
        <v/>
      </c>
      <c r="S303" s="4"/>
      <c r="T303" s="10" t="str">
        <f aca="false">IF(A303="","",SUMPRODUCT(($R$2:R303=R303)*($A$2:A303&lt;&gt;"")))</f>
        <v/>
      </c>
      <c r="U303" s="10" t="str">
        <f aca="false">IF(A303="","",R303&amp;"|"&amp;T303)</f>
        <v/>
      </c>
      <c r="V303" s="10" t="str">
        <f aca="false">IF(G303="","",TEXT(G303,"mm/yyyy"))</f>
        <v/>
      </c>
      <c r="W303" s="10" t="str">
        <f aca="false">IF(P303="","",TEXT(P303,"mm/yyyy"))</f>
        <v/>
      </c>
      <c r="X303" s="10" t="str">
        <f aca="false">IF(A303="","",IF(OR(R303="Fechado (Total)",R303="Fechado (Parcial)"),"Fechado|"&amp;SUMPRODUCT((($R$2:R303="Fechado (Total)")+($R$2:R303="Fechado (Parcial)"))*($A$2:A303&lt;&gt;"")),""))</f>
        <v/>
      </c>
      <c r="Y303" s="10" t="str">
        <f aca="false">IF(A303="","",IF(D303="Indicação",SUMPRODUCT(($D$2:D303="Indicação")*($A$2:A303&lt;&gt;"")),""))</f>
        <v/>
      </c>
      <c r="Z303" s="10" t="str">
        <f aca="false">IF(Y303="","","Indicacao|"&amp;Y303)</f>
        <v/>
      </c>
      <c r="AA303" s="10" t="str">
        <f aca="false">IF(I303="","",TEXT(I303,"mm/yyyy"))</f>
        <v/>
      </c>
    </row>
    <row r="304" customFormat="false" ht="15" hidden="false" customHeight="true" outlineLevel="0" collapsed="false">
      <c r="A304" s="4"/>
      <c r="B304" s="4"/>
      <c r="C304" s="4"/>
      <c r="D304" s="4"/>
      <c r="E304" s="4"/>
      <c r="F304" s="4"/>
      <c r="G304" s="8"/>
      <c r="H304" s="6"/>
      <c r="I304" s="8"/>
      <c r="J304" s="6"/>
      <c r="K304" s="6"/>
      <c r="L304" s="6"/>
      <c r="M304" s="7"/>
      <c r="N304" s="6"/>
      <c r="O304" s="7"/>
      <c r="P304" s="8"/>
      <c r="Q304" s="4"/>
      <c r="R304" s="9" t="str">
        <f aca="false">IF(N304="Sim","Fechado (Total)",IF(N304="Parcial","Fechado (Parcial)",IF(N304="Não","Perdido",IF(N304="Pendente","Pendente",IF(N304="Não precisa no momento","Não Precisa no Momento",IF(L304="Sim","Plano de Tratamento",IF(J304="Não","Não Compareceu",IF(J304="Sim","Compareceu",IF(H304="Não","Perdido",IF(H304="Sim","Consulta Marcada",IF(A304="","","Novo Paciente")))))))))))</f>
        <v/>
      </c>
      <c r="S304" s="4"/>
      <c r="T304" s="10" t="str">
        <f aca="false">IF(A304="","",SUMPRODUCT(($R$2:R304=R304)*($A$2:A304&lt;&gt;"")))</f>
        <v/>
      </c>
      <c r="U304" s="10" t="str">
        <f aca="false">IF(A304="","",R304&amp;"|"&amp;T304)</f>
        <v/>
      </c>
      <c r="V304" s="10" t="str">
        <f aca="false">IF(G304="","",TEXT(G304,"mm/yyyy"))</f>
        <v/>
      </c>
      <c r="W304" s="10" t="str">
        <f aca="false">IF(P304="","",TEXT(P304,"mm/yyyy"))</f>
        <v/>
      </c>
      <c r="X304" s="10" t="str">
        <f aca="false">IF(A304="","",IF(OR(R304="Fechado (Total)",R304="Fechado (Parcial)"),"Fechado|"&amp;SUMPRODUCT((($R$2:R304="Fechado (Total)")+($R$2:R304="Fechado (Parcial)"))*($A$2:A304&lt;&gt;"")),""))</f>
        <v/>
      </c>
      <c r="Y304" s="10" t="str">
        <f aca="false">IF(A304="","",IF(D304="Indicação",SUMPRODUCT(($D$2:D304="Indicação")*($A$2:A304&lt;&gt;"")),""))</f>
        <v/>
      </c>
      <c r="Z304" s="10" t="str">
        <f aca="false">IF(Y304="","","Indicacao|"&amp;Y304)</f>
        <v/>
      </c>
      <c r="AA304" s="10" t="str">
        <f aca="false">IF(I304="","",TEXT(I304,"mm/yyyy"))</f>
        <v/>
      </c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8"/>
      <c r="H305" s="6"/>
      <c r="I305" s="8"/>
      <c r="J305" s="6"/>
      <c r="K305" s="6"/>
      <c r="L305" s="6"/>
      <c r="M305" s="7"/>
      <c r="N305" s="6"/>
      <c r="O305" s="7"/>
      <c r="P305" s="8"/>
      <c r="Q305" s="4"/>
      <c r="R305" s="9" t="str">
        <f aca="false">IF(N305="Sim","Fechado (Total)",IF(N305="Parcial","Fechado (Parcial)",IF(N305="Não","Perdido",IF(N305="Pendente","Pendente",IF(N305="Não precisa no momento","Não Precisa no Momento",IF(L305="Sim","Plano de Tratamento",IF(J305="Não","Não Compareceu",IF(J305="Sim","Compareceu",IF(H305="Não","Perdido",IF(H305="Sim","Consulta Marcada",IF(A305="","","Novo Paciente")))))))))))</f>
        <v/>
      </c>
      <c r="S305" s="4"/>
      <c r="T305" s="10" t="str">
        <f aca="false">IF(A305="","",SUMPRODUCT(($R$2:R305=R305)*($A$2:A305&lt;&gt;"")))</f>
        <v/>
      </c>
      <c r="U305" s="10" t="str">
        <f aca="false">IF(A305="","",R305&amp;"|"&amp;T305)</f>
        <v/>
      </c>
      <c r="V305" s="10" t="str">
        <f aca="false">IF(G305="","",TEXT(G305,"mm/yyyy"))</f>
        <v/>
      </c>
      <c r="W305" s="10" t="str">
        <f aca="false">IF(P305="","",TEXT(P305,"mm/yyyy"))</f>
        <v/>
      </c>
      <c r="X305" s="10" t="str">
        <f aca="false">IF(A305="","",IF(OR(R305="Fechado (Total)",R305="Fechado (Parcial)"),"Fechado|"&amp;SUMPRODUCT((($R$2:R305="Fechado (Total)")+($R$2:R305="Fechado (Parcial)"))*($A$2:A305&lt;&gt;"")),""))</f>
        <v/>
      </c>
      <c r="Y305" s="10" t="str">
        <f aca="false">IF(A305="","",IF(D305="Indicação",SUMPRODUCT(($D$2:D305="Indicação")*($A$2:A305&lt;&gt;"")),""))</f>
        <v/>
      </c>
      <c r="Z305" s="10" t="str">
        <f aca="false">IF(Y305="","","Indicacao|"&amp;Y305)</f>
        <v/>
      </c>
      <c r="AA305" s="10" t="str">
        <f aca="false">IF(I305="","",TEXT(I305,"mm/yyyy"))</f>
        <v/>
      </c>
    </row>
    <row r="306" customFormat="false" ht="15" hidden="false" customHeight="true" outlineLevel="0" collapsed="false">
      <c r="A306" s="4"/>
      <c r="B306" s="4"/>
      <c r="C306" s="4"/>
      <c r="D306" s="4"/>
      <c r="E306" s="4"/>
      <c r="F306" s="4"/>
      <c r="G306" s="8"/>
      <c r="H306" s="6"/>
      <c r="I306" s="8"/>
      <c r="J306" s="6"/>
      <c r="K306" s="6"/>
      <c r="L306" s="6"/>
      <c r="M306" s="7"/>
      <c r="N306" s="6"/>
      <c r="O306" s="7"/>
      <c r="P306" s="8"/>
      <c r="Q306" s="4"/>
      <c r="R306" s="9" t="str">
        <f aca="false">IF(N306="Sim","Fechado (Total)",IF(N306="Parcial","Fechado (Parcial)",IF(N306="Não","Perdido",IF(N306="Pendente","Pendente",IF(N306="Não precisa no momento","Não Precisa no Momento",IF(L306="Sim","Plano de Tratamento",IF(J306="Não","Não Compareceu",IF(J306="Sim","Compareceu",IF(H306="Não","Perdido",IF(H306="Sim","Consulta Marcada",IF(A306="","","Novo Paciente")))))))))))</f>
        <v/>
      </c>
      <c r="S306" s="4"/>
      <c r="T306" s="10" t="str">
        <f aca="false">IF(A306="","",SUMPRODUCT(($R$2:R306=R306)*($A$2:A306&lt;&gt;"")))</f>
        <v/>
      </c>
      <c r="U306" s="10" t="str">
        <f aca="false">IF(A306="","",R306&amp;"|"&amp;T306)</f>
        <v/>
      </c>
      <c r="V306" s="10" t="str">
        <f aca="false">IF(G306="","",TEXT(G306,"mm/yyyy"))</f>
        <v/>
      </c>
      <c r="W306" s="10" t="str">
        <f aca="false">IF(P306="","",TEXT(P306,"mm/yyyy"))</f>
        <v/>
      </c>
      <c r="X306" s="10" t="str">
        <f aca="false">IF(A306="","",IF(OR(R306="Fechado (Total)",R306="Fechado (Parcial)"),"Fechado|"&amp;SUMPRODUCT((($R$2:R306="Fechado (Total)")+($R$2:R306="Fechado (Parcial)"))*($A$2:A306&lt;&gt;"")),""))</f>
        <v/>
      </c>
      <c r="Y306" s="10" t="str">
        <f aca="false">IF(A306="","",IF(D306="Indicação",SUMPRODUCT(($D$2:D306="Indicação")*($A$2:A306&lt;&gt;"")),""))</f>
        <v/>
      </c>
      <c r="Z306" s="10" t="str">
        <f aca="false">IF(Y306="","","Indicacao|"&amp;Y306)</f>
        <v/>
      </c>
      <c r="AA306" s="10" t="str">
        <f aca="false">IF(I306="","",TEXT(I306,"mm/yyyy"))</f>
        <v/>
      </c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8"/>
      <c r="H307" s="6"/>
      <c r="I307" s="8"/>
      <c r="J307" s="6"/>
      <c r="K307" s="6"/>
      <c r="L307" s="6"/>
      <c r="M307" s="7"/>
      <c r="N307" s="6"/>
      <c r="O307" s="7"/>
      <c r="P307" s="8"/>
      <c r="Q307" s="4"/>
      <c r="R307" s="9" t="str">
        <f aca="false">IF(N307="Sim","Fechado (Total)",IF(N307="Parcial","Fechado (Parcial)",IF(N307="Não","Perdido",IF(N307="Pendente","Pendente",IF(N307="Não precisa no momento","Não Precisa no Momento",IF(L307="Sim","Plano de Tratamento",IF(J307="Não","Não Compareceu",IF(J307="Sim","Compareceu",IF(H307="Não","Perdido",IF(H307="Sim","Consulta Marcada",IF(A307="","","Novo Paciente")))))))))))</f>
        <v/>
      </c>
      <c r="S307" s="4"/>
      <c r="T307" s="10" t="str">
        <f aca="false">IF(A307="","",SUMPRODUCT(($R$2:R307=R307)*($A$2:A307&lt;&gt;"")))</f>
        <v/>
      </c>
      <c r="U307" s="10" t="str">
        <f aca="false">IF(A307="","",R307&amp;"|"&amp;T307)</f>
        <v/>
      </c>
      <c r="V307" s="10" t="str">
        <f aca="false">IF(G307="","",TEXT(G307,"mm/yyyy"))</f>
        <v/>
      </c>
      <c r="W307" s="10" t="str">
        <f aca="false">IF(P307="","",TEXT(P307,"mm/yyyy"))</f>
        <v/>
      </c>
      <c r="X307" s="10" t="str">
        <f aca="false">IF(A307="","",IF(OR(R307="Fechado (Total)",R307="Fechado (Parcial)"),"Fechado|"&amp;SUMPRODUCT((($R$2:R307="Fechado (Total)")+($R$2:R307="Fechado (Parcial)"))*($A$2:A307&lt;&gt;"")),""))</f>
        <v/>
      </c>
      <c r="Y307" s="10" t="str">
        <f aca="false">IF(A307="","",IF(D307="Indicação",SUMPRODUCT(($D$2:D307="Indicação")*($A$2:A307&lt;&gt;"")),""))</f>
        <v/>
      </c>
      <c r="Z307" s="10" t="str">
        <f aca="false">IF(Y307="","","Indicacao|"&amp;Y307)</f>
        <v/>
      </c>
      <c r="AA307" s="10" t="str">
        <f aca="false">IF(I307="","",TEXT(I307,"mm/yyyy"))</f>
        <v/>
      </c>
    </row>
    <row r="308" customFormat="false" ht="15" hidden="false" customHeight="true" outlineLevel="0" collapsed="false">
      <c r="A308" s="4"/>
      <c r="B308" s="4"/>
      <c r="C308" s="4"/>
      <c r="D308" s="4"/>
      <c r="E308" s="4"/>
      <c r="F308" s="4"/>
      <c r="G308" s="8"/>
      <c r="H308" s="6"/>
      <c r="I308" s="8"/>
      <c r="J308" s="6"/>
      <c r="K308" s="6"/>
      <c r="L308" s="6"/>
      <c r="M308" s="7"/>
      <c r="N308" s="6"/>
      <c r="O308" s="7"/>
      <c r="P308" s="8"/>
      <c r="Q308" s="4"/>
      <c r="R308" s="9" t="str">
        <f aca="false">IF(N308="Sim","Fechado (Total)",IF(N308="Parcial","Fechado (Parcial)",IF(N308="Não","Perdido",IF(N308="Pendente","Pendente",IF(N308="Não precisa no momento","Não Precisa no Momento",IF(L308="Sim","Plano de Tratamento",IF(J308="Não","Não Compareceu",IF(J308="Sim","Compareceu",IF(H308="Não","Perdido",IF(H308="Sim","Consulta Marcada",IF(A308="","","Novo Paciente")))))))))))</f>
        <v/>
      </c>
      <c r="S308" s="4"/>
      <c r="T308" s="10" t="str">
        <f aca="false">IF(A308="","",SUMPRODUCT(($R$2:R308=R308)*($A$2:A308&lt;&gt;"")))</f>
        <v/>
      </c>
      <c r="U308" s="10" t="str">
        <f aca="false">IF(A308="","",R308&amp;"|"&amp;T308)</f>
        <v/>
      </c>
      <c r="V308" s="10" t="str">
        <f aca="false">IF(G308="","",TEXT(G308,"mm/yyyy"))</f>
        <v/>
      </c>
      <c r="W308" s="10" t="str">
        <f aca="false">IF(P308="","",TEXT(P308,"mm/yyyy"))</f>
        <v/>
      </c>
      <c r="X308" s="10" t="str">
        <f aca="false">IF(A308="","",IF(OR(R308="Fechado (Total)",R308="Fechado (Parcial)"),"Fechado|"&amp;SUMPRODUCT((($R$2:R308="Fechado (Total)")+($R$2:R308="Fechado (Parcial)"))*($A$2:A308&lt;&gt;"")),""))</f>
        <v/>
      </c>
      <c r="Y308" s="10" t="str">
        <f aca="false">IF(A308="","",IF(D308="Indicação",SUMPRODUCT(($D$2:D308="Indicação")*($A$2:A308&lt;&gt;"")),""))</f>
        <v/>
      </c>
      <c r="Z308" s="10" t="str">
        <f aca="false">IF(Y308="","","Indicacao|"&amp;Y308)</f>
        <v/>
      </c>
      <c r="AA308" s="10" t="str">
        <f aca="false">IF(I308="","",TEXT(I308,"mm/yyyy"))</f>
        <v/>
      </c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8"/>
      <c r="H309" s="6"/>
      <c r="I309" s="8"/>
      <c r="J309" s="6"/>
      <c r="K309" s="6"/>
      <c r="L309" s="6"/>
      <c r="M309" s="7"/>
      <c r="N309" s="6"/>
      <c r="O309" s="7"/>
      <c r="P309" s="8"/>
      <c r="Q309" s="4"/>
      <c r="R309" s="9" t="str">
        <f aca="false">IF(N309="Sim","Fechado (Total)",IF(N309="Parcial","Fechado (Parcial)",IF(N309="Não","Perdido",IF(N309="Pendente","Pendente",IF(N309="Não precisa no momento","Não Precisa no Momento",IF(L309="Sim","Plano de Tratamento",IF(J309="Não","Não Compareceu",IF(J309="Sim","Compareceu",IF(H309="Não","Perdido",IF(H309="Sim","Consulta Marcada",IF(A309="","","Novo Paciente")))))))))))</f>
        <v/>
      </c>
      <c r="S309" s="4"/>
      <c r="T309" s="10" t="str">
        <f aca="false">IF(A309="","",SUMPRODUCT(($R$2:R309=R309)*($A$2:A309&lt;&gt;"")))</f>
        <v/>
      </c>
      <c r="U309" s="10" t="str">
        <f aca="false">IF(A309="","",R309&amp;"|"&amp;T309)</f>
        <v/>
      </c>
      <c r="V309" s="10" t="str">
        <f aca="false">IF(G309="","",TEXT(G309,"mm/yyyy"))</f>
        <v/>
      </c>
      <c r="W309" s="10" t="str">
        <f aca="false">IF(P309="","",TEXT(P309,"mm/yyyy"))</f>
        <v/>
      </c>
      <c r="X309" s="10" t="str">
        <f aca="false">IF(A309="","",IF(OR(R309="Fechado (Total)",R309="Fechado (Parcial)"),"Fechado|"&amp;SUMPRODUCT((($R$2:R309="Fechado (Total)")+($R$2:R309="Fechado (Parcial)"))*($A$2:A309&lt;&gt;"")),""))</f>
        <v/>
      </c>
      <c r="Y309" s="10" t="str">
        <f aca="false">IF(A309="","",IF(D309="Indicação",SUMPRODUCT(($D$2:D309="Indicação")*($A$2:A309&lt;&gt;"")),""))</f>
        <v/>
      </c>
      <c r="Z309" s="10" t="str">
        <f aca="false">IF(Y309="","","Indicacao|"&amp;Y309)</f>
        <v/>
      </c>
      <c r="AA309" s="10" t="str">
        <f aca="false">IF(I309="","",TEXT(I309,"mm/yyyy"))</f>
        <v/>
      </c>
    </row>
    <row r="310" customFormat="false" ht="15" hidden="false" customHeight="true" outlineLevel="0" collapsed="false">
      <c r="A310" s="4"/>
      <c r="B310" s="4"/>
      <c r="C310" s="4"/>
      <c r="D310" s="4"/>
      <c r="E310" s="4"/>
      <c r="F310" s="4"/>
      <c r="G310" s="8"/>
      <c r="H310" s="6"/>
      <c r="I310" s="8"/>
      <c r="J310" s="6"/>
      <c r="K310" s="6"/>
      <c r="L310" s="6"/>
      <c r="M310" s="7"/>
      <c r="N310" s="6"/>
      <c r="O310" s="7"/>
      <c r="P310" s="8"/>
      <c r="Q310" s="4"/>
      <c r="R310" s="9" t="str">
        <f aca="false">IF(N310="Sim","Fechado (Total)",IF(N310="Parcial","Fechado (Parcial)",IF(N310="Não","Perdido",IF(N310="Pendente","Pendente",IF(N310="Não precisa no momento","Não Precisa no Momento",IF(L310="Sim","Plano de Tratamento",IF(J310="Não","Não Compareceu",IF(J310="Sim","Compareceu",IF(H310="Não","Perdido",IF(H310="Sim","Consulta Marcada",IF(A310="","","Novo Paciente")))))))))))</f>
        <v/>
      </c>
      <c r="S310" s="4"/>
      <c r="T310" s="10" t="str">
        <f aca="false">IF(A310="","",SUMPRODUCT(($R$2:R310=R310)*($A$2:A310&lt;&gt;"")))</f>
        <v/>
      </c>
      <c r="U310" s="10" t="str">
        <f aca="false">IF(A310="","",R310&amp;"|"&amp;T310)</f>
        <v/>
      </c>
      <c r="V310" s="10" t="str">
        <f aca="false">IF(G310="","",TEXT(G310,"mm/yyyy"))</f>
        <v/>
      </c>
      <c r="W310" s="10" t="str">
        <f aca="false">IF(P310="","",TEXT(P310,"mm/yyyy"))</f>
        <v/>
      </c>
      <c r="X310" s="10" t="str">
        <f aca="false">IF(A310="","",IF(OR(R310="Fechado (Total)",R310="Fechado (Parcial)"),"Fechado|"&amp;SUMPRODUCT((($R$2:R310="Fechado (Total)")+($R$2:R310="Fechado (Parcial)"))*($A$2:A310&lt;&gt;"")),""))</f>
        <v/>
      </c>
      <c r="Y310" s="10" t="str">
        <f aca="false">IF(A310="","",IF(D310="Indicação",SUMPRODUCT(($D$2:D310="Indicação")*($A$2:A310&lt;&gt;"")),""))</f>
        <v/>
      </c>
      <c r="Z310" s="10" t="str">
        <f aca="false">IF(Y310="","","Indicacao|"&amp;Y310)</f>
        <v/>
      </c>
      <c r="AA310" s="10" t="str">
        <f aca="false">IF(I310="","",TEXT(I310,"mm/yyyy"))</f>
        <v/>
      </c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8"/>
      <c r="H311" s="6"/>
      <c r="I311" s="8"/>
      <c r="J311" s="6"/>
      <c r="K311" s="6"/>
      <c r="L311" s="6"/>
      <c r="M311" s="7"/>
      <c r="N311" s="6"/>
      <c r="O311" s="7"/>
      <c r="P311" s="8"/>
      <c r="Q311" s="4"/>
      <c r="R311" s="9" t="str">
        <f aca="false">IF(N311="Sim","Fechado (Total)",IF(N311="Parcial","Fechado (Parcial)",IF(N311="Não","Perdido",IF(N311="Pendente","Pendente",IF(N311="Não precisa no momento","Não Precisa no Momento",IF(L311="Sim","Plano de Tratamento",IF(J311="Não","Não Compareceu",IF(J311="Sim","Compareceu",IF(H311="Não","Perdido",IF(H311="Sim","Consulta Marcada",IF(A311="","","Novo Paciente")))))))))))</f>
        <v/>
      </c>
      <c r="S311" s="4"/>
      <c r="T311" s="10" t="str">
        <f aca="false">IF(A311="","",SUMPRODUCT(($R$2:R311=R311)*($A$2:A311&lt;&gt;"")))</f>
        <v/>
      </c>
      <c r="U311" s="10" t="str">
        <f aca="false">IF(A311="","",R311&amp;"|"&amp;T311)</f>
        <v/>
      </c>
      <c r="V311" s="10" t="str">
        <f aca="false">IF(G311="","",TEXT(G311,"mm/yyyy"))</f>
        <v/>
      </c>
      <c r="W311" s="10" t="str">
        <f aca="false">IF(P311="","",TEXT(P311,"mm/yyyy"))</f>
        <v/>
      </c>
      <c r="X311" s="10" t="str">
        <f aca="false">IF(A311="","",IF(OR(R311="Fechado (Total)",R311="Fechado (Parcial)"),"Fechado|"&amp;SUMPRODUCT((($R$2:R311="Fechado (Total)")+($R$2:R311="Fechado (Parcial)"))*($A$2:A311&lt;&gt;"")),""))</f>
        <v/>
      </c>
      <c r="Y311" s="10" t="str">
        <f aca="false">IF(A311="","",IF(D311="Indicação",SUMPRODUCT(($D$2:D311="Indicação")*($A$2:A311&lt;&gt;"")),""))</f>
        <v/>
      </c>
      <c r="Z311" s="10" t="str">
        <f aca="false">IF(Y311="","","Indicacao|"&amp;Y311)</f>
        <v/>
      </c>
      <c r="AA311" s="10" t="str">
        <f aca="false">IF(I311="","",TEXT(I311,"mm/yyyy"))</f>
        <v/>
      </c>
    </row>
    <row r="312" customFormat="false" ht="15" hidden="false" customHeight="true" outlineLevel="0" collapsed="false">
      <c r="A312" s="4"/>
      <c r="B312" s="4"/>
      <c r="C312" s="4"/>
      <c r="D312" s="4"/>
      <c r="E312" s="4"/>
      <c r="F312" s="4"/>
      <c r="G312" s="8"/>
      <c r="H312" s="6"/>
      <c r="I312" s="8"/>
      <c r="J312" s="6"/>
      <c r="K312" s="6"/>
      <c r="L312" s="6"/>
      <c r="M312" s="7"/>
      <c r="N312" s="6"/>
      <c r="O312" s="7"/>
      <c r="P312" s="8"/>
      <c r="Q312" s="4"/>
      <c r="R312" s="9" t="str">
        <f aca="false">IF(N312="Sim","Fechado (Total)",IF(N312="Parcial","Fechado (Parcial)",IF(N312="Não","Perdido",IF(N312="Pendente","Pendente",IF(N312="Não precisa no momento","Não Precisa no Momento",IF(L312="Sim","Plano de Tratamento",IF(J312="Não","Não Compareceu",IF(J312="Sim","Compareceu",IF(H312="Não","Perdido",IF(H312="Sim","Consulta Marcada",IF(A312="","","Novo Paciente")))))))))))</f>
        <v/>
      </c>
      <c r="S312" s="4"/>
      <c r="T312" s="10" t="str">
        <f aca="false">IF(A312="","",SUMPRODUCT(($R$2:R312=R312)*($A$2:A312&lt;&gt;"")))</f>
        <v/>
      </c>
      <c r="U312" s="10" t="str">
        <f aca="false">IF(A312="","",R312&amp;"|"&amp;T312)</f>
        <v/>
      </c>
      <c r="V312" s="10" t="str">
        <f aca="false">IF(G312="","",TEXT(G312,"mm/yyyy"))</f>
        <v/>
      </c>
      <c r="W312" s="10" t="str">
        <f aca="false">IF(P312="","",TEXT(P312,"mm/yyyy"))</f>
        <v/>
      </c>
      <c r="X312" s="10" t="str">
        <f aca="false">IF(A312="","",IF(OR(R312="Fechado (Total)",R312="Fechado (Parcial)"),"Fechado|"&amp;SUMPRODUCT((($R$2:R312="Fechado (Total)")+($R$2:R312="Fechado (Parcial)"))*($A$2:A312&lt;&gt;"")),""))</f>
        <v/>
      </c>
      <c r="Y312" s="10" t="str">
        <f aca="false">IF(A312="","",IF(D312="Indicação",SUMPRODUCT(($D$2:D312="Indicação")*($A$2:A312&lt;&gt;"")),""))</f>
        <v/>
      </c>
      <c r="Z312" s="10" t="str">
        <f aca="false">IF(Y312="","","Indicacao|"&amp;Y312)</f>
        <v/>
      </c>
      <c r="AA312" s="10" t="str">
        <f aca="false">IF(I312="","",TEXT(I312,"mm/yyyy"))</f>
        <v/>
      </c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8"/>
      <c r="H313" s="6"/>
      <c r="I313" s="8"/>
      <c r="J313" s="6"/>
      <c r="K313" s="6"/>
      <c r="L313" s="6"/>
      <c r="M313" s="7"/>
      <c r="N313" s="6"/>
      <c r="O313" s="7"/>
      <c r="P313" s="8"/>
      <c r="Q313" s="4"/>
      <c r="R313" s="9" t="str">
        <f aca="false">IF(N313="Sim","Fechado (Total)",IF(N313="Parcial","Fechado (Parcial)",IF(N313="Não","Perdido",IF(N313="Pendente","Pendente",IF(N313="Não precisa no momento","Não Precisa no Momento",IF(L313="Sim","Plano de Tratamento",IF(J313="Não","Não Compareceu",IF(J313="Sim","Compareceu",IF(H313="Não","Perdido",IF(H313="Sim","Consulta Marcada",IF(A313="","","Novo Paciente")))))))))))</f>
        <v/>
      </c>
      <c r="S313" s="4"/>
      <c r="T313" s="10" t="str">
        <f aca="false">IF(A313="","",SUMPRODUCT(($R$2:R313=R313)*($A$2:A313&lt;&gt;"")))</f>
        <v/>
      </c>
      <c r="U313" s="10" t="str">
        <f aca="false">IF(A313="","",R313&amp;"|"&amp;T313)</f>
        <v/>
      </c>
      <c r="V313" s="10" t="str">
        <f aca="false">IF(G313="","",TEXT(G313,"mm/yyyy"))</f>
        <v/>
      </c>
      <c r="W313" s="10" t="str">
        <f aca="false">IF(P313="","",TEXT(P313,"mm/yyyy"))</f>
        <v/>
      </c>
      <c r="X313" s="10" t="str">
        <f aca="false">IF(A313="","",IF(OR(R313="Fechado (Total)",R313="Fechado (Parcial)"),"Fechado|"&amp;SUMPRODUCT((($R$2:R313="Fechado (Total)")+($R$2:R313="Fechado (Parcial)"))*($A$2:A313&lt;&gt;"")),""))</f>
        <v/>
      </c>
      <c r="Y313" s="10" t="str">
        <f aca="false">IF(A313="","",IF(D313="Indicação",SUMPRODUCT(($D$2:D313="Indicação")*($A$2:A313&lt;&gt;"")),""))</f>
        <v/>
      </c>
      <c r="Z313" s="10" t="str">
        <f aca="false">IF(Y313="","","Indicacao|"&amp;Y313)</f>
        <v/>
      </c>
      <c r="AA313" s="10" t="str">
        <f aca="false">IF(I313="","",TEXT(I313,"mm/yyyy"))</f>
        <v/>
      </c>
    </row>
    <row r="314" customFormat="false" ht="15" hidden="false" customHeight="true" outlineLevel="0" collapsed="false">
      <c r="A314" s="4"/>
      <c r="B314" s="4"/>
      <c r="C314" s="4"/>
      <c r="D314" s="4"/>
      <c r="E314" s="4"/>
      <c r="F314" s="4"/>
      <c r="G314" s="8"/>
      <c r="H314" s="6"/>
      <c r="I314" s="8"/>
      <c r="J314" s="6"/>
      <c r="K314" s="6"/>
      <c r="L314" s="6"/>
      <c r="M314" s="7"/>
      <c r="N314" s="6"/>
      <c r="O314" s="7"/>
      <c r="P314" s="8"/>
      <c r="Q314" s="4"/>
      <c r="R314" s="9" t="str">
        <f aca="false">IF(N314="Sim","Fechado (Total)",IF(N314="Parcial","Fechado (Parcial)",IF(N314="Não","Perdido",IF(N314="Pendente","Pendente",IF(N314="Não precisa no momento","Não Precisa no Momento",IF(L314="Sim","Plano de Tratamento",IF(J314="Não","Não Compareceu",IF(J314="Sim","Compareceu",IF(H314="Não","Perdido",IF(H314="Sim","Consulta Marcada",IF(A314="","","Novo Paciente")))))))))))</f>
        <v/>
      </c>
      <c r="S314" s="4"/>
      <c r="T314" s="10" t="str">
        <f aca="false">IF(A314="","",SUMPRODUCT(($R$2:R314=R314)*($A$2:A314&lt;&gt;"")))</f>
        <v/>
      </c>
      <c r="U314" s="10" t="str">
        <f aca="false">IF(A314="","",R314&amp;"|"&amp;T314)</f>
        <v/>
      </c>
      <c r="V314" s="10" t="str">
        <f aca="false">IF(G314="","",TEXT(G314,"mm/yyyy"))</f>
        <v/>
      </c>
      <c r="W314" s="10" t="str">
        <f aca="false">IF(P314="","",TEXT(P314,"mm/yyyy"))</f>
        <v/>
      </c>
      <c r="X314" s="10" t="str">
        <f aca="false">IF(A314="","",IF(OR(R314="Fechado (Total)",R314="Fechado (Parcial)"),"Fechado|"&amp;SUMPRODUCT((($R$2:R314="Fechado (Total)")+($R$2:R314="Fechado (Parcial)"))*($A$2:A314&lt;&gt;"")),""))</f>
        <v/>
      </c>
      <c r="Y314" s="10" t="str">
        <f aca="false">IF(A314="","",IF(D314="Indicação",SUMPRODUCT(($D$2:D314="Indicação")*($A$2:A314&lt;&gt;"")),""))</f>
        <v/>
      </c>
      <c r="Z314" s="10" t="str">
        <f aca="false">IF(Y314="","","Indicacao|"&amp;Y314)</f>
        <v/>
      </c>
      <c r="AA314" s="10" t="str">
        <f aca="false">IF(I314="","",TEXT(I314,"mm/yyyy"))</f>
        <v/>
      </c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8"/>
      <c r="H315" s="6"/>
      <c r="I315" s="8"/>
      <c r="J315" s="6"/>
      <c r="K315" s="6"/>
      <c r="L315" s="6"/>
      <c r="M315" s="7"/>
      <c r="N315" s="6"/>
      <c r="O315" s="7"/>
      <c r="P315" s="8"/>
      <c r="Q315" s="4"/>
      <c r="R315" s="9" t="str">
        <f aca="false">IF(N315="Sim","Fechado (Total)",IF(N315="Parcial","Fechado (Parcial)",IF(N315="Não","Perdido",IF(N315="Pendente","Pendente",IF(N315="Não precisa no momento","Não Precisa no Momento",IF(L315="Sim","Plano de Tratamento",IF(J315="Não","Não Compareceu",IF(J315="Sim","Compareceu",IF(H315="Não","Perdido",IF(H315="Sim","Consulta Marcada",IF(A315="","","Novo Paciente")))))))))))</f>
        <v/>
      </c>
      <c r="S315" s="4"/>
      <c r="T315" s="10" t="str">
        <f aca="false">IF(A315="","",SUMPRODUCT(($R$2:R315=R315)*($A$2:A315&lt;&gt;"")))</f>
        <v/>
      </c>
      <c r="U315" s="10" t="str">
        <f aca="false">IF(A315="","",R315&amp;"|"&amp;T315)</f>
        <v/>
      </c>
      <c r="V315" s="10" t="str">
        <f aca="false">IF(G315="","",TEXT(G315,"mm/yyyy"))</f>
        <v/>
      </c>
      <c r="W315" s="10" t="str">
        <f aca="false">IF(P315="","",TEXT(P315,"mm/yyyy"))</f>
        <v/>
      </c>
      <c r="X315" s="10" t="str">
        <f aca="false">IF(A315="","",IF(OR(R315="Fechado (Total)",R315="Fechado (Parcial)"),"Fechado|"&amp;SUMPRODUCT((($R$2:R315="Fechado (Total)")+($R$2:R315="Fechado (Parcial)"))*($A$2:A315&lt;&gt;"")),""))</f>
        <v/>
      </c>
      <c r="Y315" s="10" t="str">
        <f aca="false">IF(A315="","",IF(D315="Indicação",SUMPRODUCT(($D$2:D315="Indicação")*($A$2:A315&lt;&gt;"")),""))</f>
        <v/>
      </c>
      <c r="Z315" s="10" t="str">
        <f aca="false">IF(Y315="","","Indicacao|"&amp;Y315)</f>
        <v/>
      </c>
      <c r="AA315" s="10" t="str">
        <f aca="false">IF(I315="","",TEXT(I315,"mm/yyyy"))</f>
        <v/>
      </c>
    </row>
    <row r="316" customFormat="false" ht="15" hidden="false" customHeight="true" outlineLevel="0" collapsed="false">
      <c r="A316" s="4"/>
      <c r="B316" s="4"/>
      <c r="C316" s="4"/>
      <c r="D316" s="4"/>
      <c r="E316" s="4"/>
      <c r="F316" s="4"/>
      <c r="G316" s="8"/>
      <c r="H316" s="6"/>
      <c r="I316" s="8"/>
      <c r="J316" s="6"/>
      <c r="K316" s="6"/>
      <c r="L316" s="6"/>
      <c r="M316" s="7"/>
      <c r="N316" s="6"/>
      <c r="O316" s="7"/>
      <c r="P316" s="8"/>
      <c r="Q316" s="4"/>
      <c r="R316" s="9" t="str">
        <f aca="false">IF(N316="Sim","Fechado (Total)",IF(N316="Parcial","Fechado (Parcial)",IF(N316="Não","Perdido",IF(N316="Pendente","Pendente",IF(N316="Não precisa no momento","Não Precisa no Momento",IF(L316="Sim","Plano de Tratamento",IF(J316="Não","Não Compareceu",IF(J316="Sim","Compareceu",IF(H316="Não","Perdido",IF(H316="Sim","Consulta Marcada",IF(A316="","","Novo Paciente")))))))))))</f>
        <v/>
      </c>
      <c r="S316" s="4"/>
      <c r="T316" s="10" t="str">
        <f aca="false">IF(A316="","",SUMPRODUCT(($R$2:R316=R316)*($A$2:A316&lt;&gt;"")))</f>
        <v/>
      </c>
      <c r="U316" s="10" t="str">
        <f aca="false">IF(A316="","",R316&amp;"|"&amp;T316)</f>
        <v/>
      </c>
      <c r="V316" s="10" t="str">
        <f aca="false">IF(G316="","",TEXT(G316,"mm/yyyy"))</f>
        <v/>
      </c>
      <c r="W316" s="10" t="str">
        <f aca="false">IF(P316="","",TEXT(P316,"mm/yyyy"))</f>
        <v/>
      </c>
      <c r="X316" s="10" t="str">
        <f aca="false">IF(A316="","",IF(OR(R316="Fechado (Total)",R316="Fechado (Parcial)"),"Fechado|"&amp;SUMPRODUCT((($R$2:R316="Fechado (Total)")+($R$2:R316="Fechado (Parcial)"))*($A$2:A316&lt;&gt;"")),""))</f>
        <v/>
      </c>
      <c r="Y316" s="10" t="str">
        <f aca="false">IF(A316="","",IF(D316="Indicação",SUMPRODUCT(($D$2:D316="Indicação")*($A$2:A316&lt;&gt;"")),""))</f>
        <v/>
      </c>
      <c r="Z316" s="10" t="str">
        <f aca="false">IF(Y316="","","Indicacao|"&amp;Y316)</f>
        <v/>
      </c>
      <c r="AA316" s="10" t="str">
        <f aca="false">IF(I316="","",TEXT(I316,"mm/yyyy"))</f>
        <v/>
      </c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8"/>
      <c r="H317" s="6"/>
      <c r="I317" s="8"/>
      <c r="J317" s="6"/>
      <c r="K317" s="6"/>
      <c r="L317" s="6"/>
      <c r="M317" s="7"/>
      <c r="N317" s="6"/>
      <c r="O317" s="7"/>
      <c r="P317" s="8"/>
      <c r="Q317" s="4"/>
      <c r="R317" s="9" t="str">
        <f aca="false">IF(N317="Sim","Fechado (Total)",IF(N317="Parcial","Fechado (Parcial)",IF(N317="Não","Perdido",IF(N317="Pendente","Pendente",IF(N317="Não precisa no momento","Não Precisa no Momento",IF(L317="Sim","Plano de Tratamento",IF(J317="Não","Não Compareceu",IF(J317="Sim","Compareceu",IF(H317="Não","Perdido",IF(H317="Sim","Consulta Marcada",IF(A317="","","Novo Paciente")))))))))))</f>
        <v/>
      </c>
      <c r="S317" s="4"/>
      <c r="T317" s="10" t="str">
        <f aca="false">IF(A317="","",SUMPRODUCT(($R$2:R317=R317)*($A$2:A317&lt;&gt;"")))</f>
        <v/>
      </c>
      <c r="U317" s="10" t="str">
        <f aca="false">IF(A317="","",R317&amp;"|"&amp;T317)</f>
        <v/>
      </c>
      <c r="V317" s="10" t="str">
        <f aca="false">IF(G317="","",TEXT(G317,"mm/yyyy"))</f>
        <v/>
      </c>
      <c r="W317" s="10" t="str">
        <f aca="false">IF(P317="","",TEXT(P317,"mm/yyyy"))</f>
        <v/>
      </c>
      <c r="X317" s="10" t="str">
        <f aca="false">IF(A317="","",IF(OR(R317="Fechado (Total)",R317="Fechado (Parcial)"),"Fechado|"&amp;SUMPRODUCT((($R$2:R317="Fechado (Total)")+($R$2:R317="Fechado (Parcial)"))*($A$2:A317&lt;&gt;"")),""))</f>
        <v/>
      </c>
      <c r="Y317" s="10" t="str">
        <f aca="false">IF(A317="","",IF(D317="Indicação",SUMPRODUCT(($D$2:D317="Indicação")*($A$2:A317&lt;&gt;"")),""))</f>
        <v/>
      </c>
      <c r="Z317" s="10" t="str">
        <f aca="false">IF(Y317="","","Indicacao|"&amp;Y317)</f>
        <v/>
      </c>
      <c r="AA317" s="10" t="str">
        <f aca="false">IF(I317="","",TEXT(I317,"mm/yyyy"))</f>
        <v/>
      </c>
    </row>
    <row r="318" customFormat="false" ht="15" hidden="false" customHeight="true" outlineLevel="0" collapsed="false">
      <c r="A318" s="4"/>
      <c r="B318" s="4"/>
      <c r="C318" s="4"/>
      <c r="D318" s="4"/>
      <c r="E318" s="4"/>
      <c r="F318" s="4"/>
      <c r="G318" s="8"/>
      <c r="H318" s="6"/>
      <c r="I318" s="8"/>
      <c r="J318" s="6"/>
      <c r="K318" s="6"/>
      <c r="L318" s="6"/>
      <c r="M318" s="7"/>
      <c r="N318" s="6"/>
      <c r="O318" s="7"/>
      <c r="P318" s="8"/>
      <c r="Q318" s="4"/>
      <c r="R318" s="9" t="str">
        <f aca="false">IF(N318="Sim","Fechado (Total)",IF(N318="Parcial","Fechado (Parcial)",IF(N318="Não","Perdido",IF(N318="Pendente","Pendente",IF(N318="Não precisa no momento","Não Precisa no Momento",IF(L318="Sim","Plano de Tratamento",IF(J318="Não","Não Compareceu",IF(J318="Sim","Compareceu",IF(H318="Não","Perdido",IF(H318="Sim","Consulta Marcada",IF(A318="","","Novo Paciente")))))))))))</f>
        <v/>
      </c>
      <c r="S318" s="4"/>
      <c r="T318" s="10" t="str">
        <f aca="false">IF(A318="","",SUMPRODUCT(($R$2:R318=R318)*($A$2:A318&lt;&gt;"")))</f>
        <v/>
      </c>
      <c r="U318" s="10" t="str">
        <f aca="false">IF(A318="","",R318&amp;"|"&amp;T318)</f>
        <v/>
      </c>
      <c r="V318" s="10" t="str">
        <f aca="false">IF(G318="","",TEXT(G318,"mm/yyyy"))</f>
        <v/>
      </c>
      <c r="W318" s="10" t="str">
        <f aca="false">IF(P318="","",TEXT(P318,"mm/yyyy"))</f>
        <v/>
      </c>
      <c r="X318" s="10" t="str">
        <f aca="false">IF(A318="","",IF(OR(R318="Fechado (Total)",R318="Fechado (Parcial)"),"Fechado|"&amp;SUMPRODUCT((($R$2:R318="Fechado (Total)")+($R$2:R318="Fechado (Parcial)"))*($A$2:A318&lt;&gt;"")),""))</f>
        <v/>
      </c>
      <c r="Y318" s="10" t="str">
        <f aca="false">IF(A318="","",IF(D318="Indicação",SUMPRODUCT(($D$2:D318="Indicação")*($A$2:A318&lt;&gt;"")),""))</f>
        <v/>
      </c>
      <c r="Z318" s="10" t="str">
        <f aca="false">IF(Y318="","","Indicacao|"&amp;Y318)</f>
        <v/>
      </c>
      <c r="AA318" s="10" t="str">
        <f aca="false">IF(I318="","",TEXT(I318,"mm/yyyy"))</f>
        <v/>
      </c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8"/>
      <c r="H319" s="6"/>
      <c r="I319" s="8"/>
      <c r="J319" s="6"/>
      <c r="K319" s="6"/>
      <c r="L319" s="6"/>
      <c r="M319" s="7"/>
      <c r="N319" s="6"/>
      <c r="O319" s="7"/>
      <c r="P319" s="8"/>
      <c r="Q319" s="4"/>
      <c r="R319" s="9" t="str">
        <f aca="false">IF(N319="Sim","Fechado (Total)",IF(N319="Parcial","Fechado (Parcial)",IF(N319="Não","Perdido",IF(N319="Pendente","Pendente",IF(N319="Não precisa no momento","Não Precisa no Momento",IF(L319="Sim","Plano de Tratamento",IF(J319="Não","Não Compareceu",IF(J319="Sim","Compareceu",IF(H319="Não","Perdido",IF(H319="Sim","Consulta Marcada",IF(A319="","","Novo Paciente")))))))))))</f>
        <v/>
      </c>
      <c r="S319" s="4"/>
      <c r="T319" s="10" t="str">
        <f aca="false">IF(A319="","",SUMPRODUCT(($R$2:R319=R319)*($A$2:A319&lt;&gt;"")))</f>
        <v/>
      </c>
      <c r="U319" s="10" t="str">
        <f aca="false">IF(A319="","",R319&amp;"|"&amp;T319)</f>
        <v/>
      </c>
      <c r="V319" s="10" t="str">
        <f aca="false">IF(G319="","",TEXT(G319,"mm/yyyy"))</f>
        <v/>
      </c>
      <c r="W319" s="10" t="str">
        <f aca="false">IF(P319="","",TEXT(P319,"mm/yyyy"))</f>
        <v/>
      </c>
      <c r="X319" s="10" t="str">
        <f aca="false">IF(A319="","",IF(OR(R319="Fechado (Total)",R319="Fechado (Parcial)"),"Fechado|"&amp;SUMPRODUCT((($R$2:R319="Fechado (Total)")+($R$2:R319="Fechado (Parcial)"))*($A$2:A319&lt;&gt;"")),""))</f>
        <v/>
      </c>
      <c r="Y319" s="10" t="str">
        <f aca="false">IF(A319="","",IF(D319="Indicação",SUMPRODUCT(($D$2:D319="Indicação")*($A$2:A319&lt;&gt;"")),""))</f>
        <v/>
      </c>
      <c r="Z319" s="10" t="str">
        <f aca="false">IF(Y319="","","Indicacao|"&amp;Y319)</f>
        <v/>
      </c>
      <c r="AA319" s="10" t="str">
        <f aca="false">IF(I319="","",TEXT(I319,"mm/yyyy"))</f>
        <v/>
      </c>
    </row>
    <row r="320" customFormat="false" ht="15" hidden="false" customHeight="true" outlineLevel="0" collapsed="false">
      <c r="A320" s="4"/>
      <c r="B320" s="4"/>
      <c r="C320" s="4"/>
      <c r="D320" s="4"/>
      <c r="E320" s="4"/>
      <c r="F320" s="4"/>
      <c r="G320" s="8"/>
      <c r="H320" s="6"/>
      <c r="I320" s="8"/>
      <c r="J320" s="6"/>
      <c r="K320" s="6"/>
      <c r="L320" s="6"/>
      <c r="M320" s="7"/>
      <c r="N320" s="6"/>
      <c r="O320" s="7"/>
      <c r="P320" s="8"/>
      <c r="Q320" s="4"/>
      <c r="R320" s="9" t="str">
        <f aca="false">IF(N320="Sim","Fechado (Total)",IF(N320="Parcial","Fechado (Parcial)",IF(N320="Não","Perdido",IF(N320="Pendente","Pendente",IF(N320="Não precisa no momento","Não Precisa no Momento",IF(L320="Sim","Plano de Tratamento",IF(J320="Não","Não Compareceu",IF(J320="Sim","Compareceu",IF(H320="Não","Perdido",IF(H320="Sim","Consulta Marcada",IF(A320="","","Novo Paciente")))))))))))</f>
        <v/>
      </c>
      <c r="S320" s="4"/>
      <c r="T320" s="10" t="str">
        <f aca="false">IF(A320="","",SUMPRODUCT(($R$2:R320=R320)*($A$2:A320&lt;&gt;"")))</f>
        <v/>
      </c>
      <c r="U320" s="10" t="str">
        <f aca="false">IF(A320="","",R320&amp;"|"&amp;T320)</f>
        <v/>
      </c>
      <c r="V320" s="10" t="str">
        <f aca="false">IF(G320="","",TEXT(G320,"mm/yyyy"))</f>
        <v/>
      </c>
      <c r="W320" s="10" t="str">
        <f aca="false">IF(P320="","",TEXT(P320,"mm/yyyy"))</f>
        <v/>
      </c>
      <c r="X320" s="10" t="str">
        <f aca="false">IF(A320="","",IF(OR(R320="Fechado (Total)",R320="Fechado (Parcial)"),"Fechado|"&amp;SUMPRODUCT((($R$2:R320="Fechado (Total)")+($R$2:R320="Fechado (Parcial)"))*($A$2:A320&lt;&gt;"")),""))</f>
        <v/>
      </c>
      <c r="Y320" s="10" t="str">
        <f aca="false">IF(A320="","",IF(D320="Indicação",SUMPRODUCT(($D$2:D320="Indicação")*($A$2:A320&lt;&gt;"")),""))</f>
        <v/>
      </c>
      <c r="Z320" s="10" t="str">
        <f aca="false">IF(Y320="","","Indicacao|"&amp;Y320)</f>
        <v/>
      </c>
      <c r="AA320" s="10" t="str">
        <f aca="false">IF(I320="","",TEXT(I320,"mm/yyyy"))</f>
        <v/>
      </c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8"/>
      <c r="H321" s="6"/>
      <c r="I321" s="8"/>
      <c r="J321" s="6"/>
      <c r="K321" s="6"/>
      <c r="L321" s="6"/>
      <c r="M321" s="7"/>
      <c r="N321" s="6"/>
      <c r="O321" s="7"/>
      <c r="P321" s="8"/>
      <c r="Q321" s="4"/>
      <c r="R321" s="9" t="str">
        <f aca="false">IF(N321="Sim","Fechado (Total)",IF(N321="Parcial","Fechado (Parcial)",IF(N321="Não","Perdido",IF(N321="Pendente","Pendente",IF(N321="Não precisa no momento","Não Precisa no Momento",IF(L321="Sim","Plano de Tratamento",IF(J321="Não","Não Compareceu",IF(J321="Sim","Compareceu",IF(H321="Não","Perdido",IF(H321="Sim","Consulta Marcada",IF(A321="","","Novo Paciente")))))))))))</f>
        <v/>
      </c>
      <c r="S321" s="4"/>
      <c r="T321" s="10" t="str">
        <f aca="false">IF(A321="","",SUMPRODUCT(($R$2:R321=R321)*($A$2:A321&lt;&gt;"")))</f>
        <v/>
      </c>
      <c r="U321" s="10" t="str">
        <f aca="false">IF(A321="","",R321&amp;"|"&amp;T321)</f>
        <v/>
      </c>
      <c r="V321" s="10" t="str">
        <f aca="false">IF(G321="","",TEXT(G321,"mm/yyyy"))</f>
        <v/>
      </c>
      <c r="W321" s="10" t="str">
        <f aca="false">IF(P321="","",TEXT(P321,"mm/yyyy"))</f>
        <v/>
      </c>
      <c r="X321" s="10" t="str">
        <f aca="false">IF(A321="","",IF(OR(R321="Fechado (Total)",R321="Fechado (Parcial)"),"Fechado|"&amp;SUMPRODUCT((($R$2:R321="Fechado (Total)")+($R$2:R321="Fechado (Parcial)"))*($A$2:A321&lt;&gt;"")),""))</f>
        <v/>
      </c>
      <c r="Y321" s="10" t="str">
        <f aca="false">IF(A321="","",IF(D321="Indicação",SUMPRODUCT(($D$2:D321="Indicação")*($A$2:A321&lt;&gt;"")),""))</f>
        <v/>
      </c>
      <c r="Z321" s="10" t="str">
        <f aca="false">IF(Y321="","","Indicacao|"&amp;Y321)</f>
        <v/>
      </c>
      <c r="AA321" s="10" t="str">
        <f aca="false">IF(I321="","",TEXT(I321,"mm/yyyy"))</f>
        <v/>
      </c>
    </row>
    <row r="322" customFormat="false" ht="15" hidden="false" customHeight="true" outlineLevel="0" collapsed="false">
      <c r="A322" s="4"/>
      <c r="B322" s="4"/>
      <c r="C322" s="4"/>
      <c r="D322" s="4"/>
      <c r="E322" s="4"/>
      <c r="F322" s="4"/>
      <c r="G322" s="8"/>
      <c r="H322" s="6"/>
      <c r="I322" s="8"/>
      <c r="J322" s="6"/>
      <c r="K322" s="6"/>
      <c r="L322" s="6"/>
      <c r="M322" s="7"/>
      <c r="N322" s="6"/>
      <c r="O322" s="7"/>
      <c r="P322" s="8"/>
      <c r="Q322" s="4"/>
      <c r="R322" s="9" t="str">
        <f aca="false">IF(N322="Sim","Fechado (Total)",IF(N322="Parcial","Fechado (Parcial)",IF(N322="Não","Perdido",IF(N322="Pendente","Pendente",IF(N322="Não precisa no momento","Não Precisa no Momento",IF(L322="Sim","Plano de Tratamento",IF(J322="Não","Não Compareceu",IF(J322="Sim","Compareceu",IF(H322="Não","Perdido",IF(H322="Sim","Consulta Marcada",IF(A322="","","Novo Paciente")))))))))))</f>
        <v/>
      </c>
      <c r="S322" s="4"/>
      <c r="T322" s="10" t="str">
        <f aca="false">IF(A322="","",SUMPRODUCT(($R$2:R322=R322)*($A$2:A322&lt;&gt;"")))</f>
        <v/>
      </c>
      <c r="U322" s="10" t="str">
        <f aca="false">IF(A322="","",R322&amp;"|"&amp;T322)</f>
        <v/>
      </c>
      <c r="V322" s="10" t="str">
        <f aca="false">IF(G322="","",TEXT(G322,"mm/yyyy"))</f>
        <v/>
      </c>
      <c r="W322" s="10" t="str">
        <f aca="false">IF(P322="","",TEXT(P322,"mm/yyyy"))</f>
        <v/>
      </c>
      <c r="X322" s="10" t="str">
        <f aca="false">IF(A322="","",IF(OR(R322="Fechado (Total)",R322="Fechado (Parcial)"),"Fechado|"&amp;SUMPRODUCT((($R$2:R322="Fechado (Total)")+($R$2:R322="Fechado (Parcial)"))*($A$2:A322&lt;&gt;"")),""))</f>
        <v/>
      </c>
      <c r="Y322" s="10" t="str">
        <f aca="false">IF(A322="","",IF(D322="Indicação",SUMPRODUCT(($D$2:D322="Indicação")*($A$2:A322&lt;&gt;"")),""))</f>
        <v/>
      </c>
      <c r="Z322" s="10" t="str">
        <f aca="false">IF(Y322="","","Indicacao|"&amp;Y322)</f>
        <v/>
      </c>
      <c r="AA322" s="10" t="str">
        <f aca="false">IF(I322="","",TEXT(I322,"mm/yyyy"))</f>
        <v/>
      </c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8"/>
      <c r="H323" s="6"/>
      <c r="I323" s="8"/>
      <c r="J323" s="6"/>
      <c r="K323" s="6"/>
      <c r="L323" s="6"/>
      <c r="M323" s="7"/>
      <c r="N323" s="6"/>
      <c r="O323" s="7"/>
      <c r="P323" s="8"/>
      <c r="Q323" s="4"/>
      <c r="R323" s="9" t="str">
        <f aca="false">IF(N323="Sim","Fechado (Total)",IF(N323="Parcial","Fechado (Parcial)",IF(N323="Não","Perdido",IF(N323="Pendente","Pendente",IF(N323="Não precisa no momento","Não Precisa no Momento",IF(L323="Sim","Plano de Tratamento",IF(J323="Não","Não Compareceu",IF(J323="Sim","Compareceu",IF(H323="Não","Perdido",IF(H323="Sim","Consulta Marcada",IF(A323="","","Novo Paciente")))))))))))</f>
        <v/>
      </c>
      <c r="S323" s="4"/>
      <c r="T323" s="10" t="str">
        <f aca="false">IF(A323="","",SUMPRODUCT(($R$2:R323=R323)*($A$2:A323&lt;&gt;"")))</f>
        <v/>
      </c>
      <c r="U323" s="10" t="str">
        <f aca="false">IF(A323="","",R323&amp;"|"&amp;T323)</f>
        <v/>
      </c>
      <c r="V323" s="10" t="str">
        <f aca="false">IF(G323="","",TEXT(G323,"mm/yyyy"))</f>
        <v/>
      </c>
      <c r="W323" s="10" t="str">
        <f aca="false">IF(P323="","",TEXT(P323,"mm/yyyy"))</f>
        <v/>
      </c>
      <c r="X323" s="10" t="str">
        <f aca="false">IF(A323="","",IF(OR(R323="Fechado (Total)",R323="Fechado (Parcial)"),"Fechado|"&amp;SUMPRODUCT((($R$2:R323="Fechado (Total)")+($R$2:R323="Fechado (Parcial)"))*($A$2:A323&lt;&gt;"")),""))</f>
        <v/>
      </c>
      <c r="Y323" s="10" t="str">
        <f aca="false">IF(A323="","",IF(D323="Indicação",SUMPRODUCT(($D$2:D323="Indicação")*($A$2:A323&lt;&gt;"")),""))</f>
        <v/>
      </c>
      <c r="Z323" s="10" t="str">
        <f aca="false">IF(Y323="","","Indicacao|"&amp;Y323)</f>
        <v/>
      </c>
      <c r="AA323" s="10" t="str">
        <f aca="false">IF(I323="","",TEXT(I323,"mm/yyyy"))</f>
        <v/>
      </c>
    </row>
    <row r="324" customFormat="false" ht="15" hidden="false" customHeight="true" outlineLevel="0" collapsed="false">
      <c r="A324" s="4"/>
      <c r="B324" s="4"/>
      <c r="C324" s="4"/>
      <c r="D324" s="4"/>
      <c r="E324" s="4"/>
      <c r="F324" s="4"/>
      <c r="G324" s="8"/>
      <c r="H324" s="6"/>
      <c r="I324" s="8"/>
      <c r="J324" s="6"/>
      <c r="K324" s="6"/>
      <c r="L324" s="6"/>
      <c r="M324" s="7"/>
      <c r="N324" s="6"/>
      <c r="O324" s="7"/>
      <c r="P324" s="8"/>
      <c r="Q324" s="4"/>
      <c r="R324" s="9" t="str">
        <f aca="false">IF(N324="Sim","Fechado (Total)",IF(N324="Parcial","Fechado (Parcial)",IF(N324="Não","Perdido",IF(N324="Pendente","Pendente",IF(N324="Não precisa no momento","Não Precisa no Momento",IF(L324="Sim","Plano de Tratamento",IF(J324="Não","Não Compareceu",IF(J324="Sim","Compareceu",IF(H324="Não","Perdido",IF(H324="Sim","Consulta Marcada",IF(A324="","","Novo Paciente")))))))))))</f>
        <v/>
      </c>
      <c r="S324" s="4"/>
      <c r="T324" s="10" t="str">
        <f aca="false">IF(A324="","",SUMPRODUCT(($R$2:R324=R324)*($A$2:A324&lt;&gt;"")))</f>
        <v/>
      </c>
      <c r="U324" s="10" t="str">
        <f aca="false">IF(A324="","",R324&amp;"|"&amp;T324)</f>
        <v/>
      </c>
      <c r="V324" s="10" t="str">
        <f aca="false">IF(G324="","",TEXT(G324,"mm/yyyy"))</f>
        <v/>
      </c>
      <c r="W324" s="10" t="str">
        <f aca="false">IF(P324="","",TEXT(P324,"mm/yyyy"))</f>
        <v/>
      </c>
      <c r="X324" s="10" t="str">
        <f aca="false">IF(A324="","",IF(OR(R324="Fechado (Total)",R324="Fechado (Parcial)"),"Fechado|"&amp;SUMPRODUCT((($R$2:R324="Fechado (Total)")+($R$2:R324="Fechado (Parcial)"))*($A$2:A324&lt;&gt;"")),""))</f>
        <v/>
      </c>
      <c r="Y324" s="10" t="str">
        <f aca="false">IF(A324="","",IF(D324="Indicação",SUMPRODUCT(($D$2:D324="Indicação")*($A$2:A324&lt;&gt;"")),""))</f>
        <v/>
      </c>
      <c r="Z324" s="10" t="str">
        <f aca="false">IF(Y324="","","Indicacao|"&amp;Y324)</f>
        <v/>
      </c>
      <c r="AA324" s="10" t="str">
        <f aca="false">IF(I324="","",TEXT(I324,"mm/yyyy"))</f>
        <v/>
      </c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8"/>
      <c r="H325" s="6"/>
      <c r="I325" s="8"/>
      <c r="J325" s="6"/>
      <c r="K325" s="6"/>
      <c r="L325" s="6"/>
      <c r="M325" s="7"/>
      <c r="N325" s="6"/>
      <c r="O325" s="7"/>
      <c r="P325" s="8"/>
      <c r="Q325" s="4"/>
      <c r="R325" s="9" t="str">
        <f aca="false">IF(N325="Sim","Fechado (Total)",IF(N325="Parcial","Fechado (Parcial)",IF(N325="Não","Perdido",IF(N325="Pendente","Pendente",IF(N325="Não precisa no momento","Não Precisa no Momento",IF(L325="Sim","Plano de Tratamento",IF(J325="Não","Não Compareceu",IF(J325="Sim","Compareceu",IF(H325="Não","Perdido",IF(H325="Sim","Consulta Marcada",IF(A325="","","Novo Paciente")))))))))))</f>
        <v/>
      </c>
      <c r="S325" s="4"/>
      <c r="T325" s="10" t="str">
        <f aca="false">IF(A325="","",SUMPRODUCT(($R$2:R325=R325)*($A$2:A325&lt;&gt;"")))</f>
        <v/>
      </c>
      <c r="U325" s="10" t="str">
        <f aca="false">IF(A325="","",R325&amp;"|"&amp;T325)</f>
        <v/>
      </c>
      <c r="V325" s="10" t="str">
        <f aca="false">IF(G325="","",TEXT(G325,"mm/yyyy"))</f>
        <v/>
      </c>
      <c r="W325" s="10" t="str">
        <f aca="false">IF(P325="","",TEXT(P325,"mm/yyyy"))</f>
        <v/>
      </c>
      <c r="X325" s="10" t="str">
        <f aca="false">IF(A325="","",IF(OR(R325="Fechado (Total)",R325="Fechado (Parcial)"),"Fechado|"&amp;SUMPRODUCT((($R$2:R325="Fechado (Total)")+($R$2:R325="Fechado (Parcial)"))*($A$2:A325&lt;&gt;"")),""))</f>
        <v/>
      </c>
      <c r="Y325" s="10" t="str">
        <f aca="false">IF(A325="","",IF(D325="Indicação",SUMPRODUCT(($D$2:D325="Indicação")*($A$2:A325&lt;&gt;"")),""))</f>
        <v/>
      </c>
      <c r="Z325" s="10" t="str">
        <f aca="false">IF(Y325="","","Indicacao|"&amp;Y325)</f>
        <v/>
      </c>
      <c r="AA325" s="10" t="str">
        <f aca="false">IF(I325="","",TEXT(I325,"mm/yyyy"))</f>
        <v/>
      </c>
    </row>
    <row r="326" customFormat="false" ht="15" hidden="false" customHeight="true" outlineLevel="0" collapsed="false">
      <c r="A326" s="4"/>
      <c r="B326" s="4"/>
      <c r="C326" s="4"/>
      <c r="D326" s="4"/>
      <c r="E326" s="4"/>
      <c r="F326" s="4"/>
      <c r="G326" s="8"/>
      <c r="H326" s="6"/>
      <c r="I326" s="8"/>
      <c r="J326" s="6"/>
      <c r="K326" s="6"/>
      <c r="L326" s="6"/>
      <c r="M326" s="7"/>
      <c r="N326" s="6"/>
      <c r="O326" s="7"/>
      <c r="P326" s="8"/>
      <c r="Q326" s="4"/>
      <c r="R326" s="9" t="str">
        <f aca="false">IF(N326="Sim","Fechado (Total)",IF(N326="Parcial","Fechado (Parcial)",IF(N326="Não","Perdido",IF(N326="Pendente","Pendente",IF(N326="Não precisa no momento","Não Precisa no Momento",IF(L326="Sim","Plano de Tratamento",IF(J326="Não","Não Compareceu",IF(J326="Sim","Compareceu",IF(H326="Não","Perdido",IF(H326="Sim","Consulta Marcada",IF(A326="","","Novo Paciente")))))))))))</f>
        <v/>
      </c>
      <c r="S326" s="4"/>
      <c r="T326" s="10" t="str">
        <f aca="false">IF(A326="","",SUMPRODUCT(($R$2:R326=R326)*($A$2:A326&lt;&gt;"")))</f>
        <v/>
      </c>
      <c r="U326" s="10" t="str">
        <f aca="false">IF(A326="","",R326&amp;"|"&amp;T326)</f>
        <v/>
      </c>
      <c r="V326" s="10" t="str">
        <f aca="false">IF(G326="","",TEXT(G326,"mm/yyyy"))</f>
        <v/>
      </c>
      <c r="W326" s="10" t="str">
        <f aca="false">IF(P326="","",TEXT(P326,"mm/yyyy"))</f>
        <v/>
      </c>
      <c r="X326" s="10" t="str">
        <f aca="false">IF(A326="","",IF(OR(R326="Fechado (Total)",R326="Fechado (Parcial)"),"Fechado|"&amp;SUMPRODUCT((($R$2:R326="Fechado (Total)")+($R$2:R326="Fechado (Parcial)"))*($A$2:A326&lt;&gt;"")),""))</f>
        <v/>
      </c>
      <c r="Y326" s="10" t="str">
        <f aca="false">IF(A326="","",IF(D326="Indicação",SUMPRODUCT(($D$2:D326="Indicação")*($A$2:A326&lt;&gt;"")),""))</f>
        <v/>
      </c>
      <c r="Z326" s="10" t="str">
        <f aca="false">IF(Y326="","","Indicacao|"&amp;Y326)</f>
        <v/>
      </c>
      <c r="AA326" s="10" t="str">
        <f aca="false">IF(I326="","",TEXT(I326,"mm/yyyy"))</f>
        <v/>
      </c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8"/>
      <c r="H327" s="6"/>
      <c r="I327" s="8"/>
      <c r="J327" s="6"/>
      <c r="K327" s="6"/>
      <c r="L327" s="6"/>
      <c r="M327" s="7"/>
      <c r="N327" s="6"/>
      <c r="O327" s="7"/>
      <c r="P327" s="8"/>
      <c r="Q327" s="4"/>
      <c r="R327" s="9" t="str">
        <f aca="false">IF(N327="Sim","Fechado (Total)",IF(N327="Parcial","Fechado (Parcial)",IF(N327="Não","Perdido",IF(N327="Pendente","Pendente",IF(N327="Não precisa no momento","Não Precisa no Momento",IF(L327="Sim","Plano de Tratamento",IF(J327="Não","Não Compareceu",IF(J327="Sim","Compareceu",IF(H327="Não","Perdido",IF(H327="Sim","Consulta Marcada",IF(A327="","","Novo Paciente")))))))))))</f>
        <v/>
      </c>
      <c r="S327" s="4"/>
      <c r="T327" s="10" t="str">
        <f aca="false">IF(A327="","",SUMPRODUCT(($R$2:R327=R327)*($A$2:A327&lt;&gt;"")))</f>
        <v/>
      </c>
      <c r="U327" s="10" t="str">
        <f aca="false">IF(A327="","",R327&amp;"|"&amp;T327)</f>
        <v/>
      </c>
      <c r="V327" s="10" t="str">
        <f aca="false">IF(G327="","",TEXT(G327,"mm/yyyy"))</f>
        <v/>
      </c>
      <c r="W327" s="10" t="str">
        <f aca="false">IF(P327="","",TEXT(P327,"mm/yyyy"))</f>
        <v/>
      </c>
      <c r="X327" s="10" t="str">
        <f aca="false">IF(A327="","",IF(OR(R327="Fechado (Total)",R327="Fechado (Parcial)"),"Fechado|"&amp;SUMPRODUCT((($R$2:R327="Fechado (Total)")+($R$2:R327="Fechado (Parcial)"))*($A$2:A327&lt;&gt;"")),""))</f>
        <v/>
      </c>
      <c r="Y327" s="10" t="str">
        <f aca="false">IF(A327="","",IF(D327="Indicação",SUMPRODUCT(($D$2:D327="Indicação")*($A$2:A327&lt;&gt;"")),""))</f>
        <v/>
      </c>
      <c r="Z327" s="10" t="str">
        <f aca="false">IF(Y327="","","Indicacao|"&amp;Y327)</f>
        <v/>
      </c>
      <c r="AA327" s="10" t="str">
        <f aca="false">IF(I327="","",TEXT(I327,"mm/yyyy"))</f>
        <v/>
      </c>
    </row>
    <row r="328" customFormat="false" ht="15" hidden="false" customHeight="true" outlineLevel="0" collapsed="false">
      <c r="A328" s="4"/>
      <c r="B328" s="4"/>
      <c r="C328" s="4"/>
      <c r="D328" s="4"/>
      <c r="E328" s="4"/>
      <c r="F328" s="4"/>
      <c r="G328" s="8"/>
      <c r="H328" s="6"/>
      <c r="I328" s="8"/>
      <c r="J328" s="6"/>
      <c r="K328" s="6"/>
      <c r="L328" s="6"/>
      <c r="M328" s="7"/>
      <c r="N328" s="6"/>
      <c r="O328" s="7"/>
      <c r="P328" s="8"/>
      <c r="Q328" s="4"/>
      <c r="R328" s="9" t="str">
        <f aca="false">IF(N328="Sim","Fechado (Total)",IF(N328="Parcial","Fechado (Parcial)",IF(N328="Não","Perdido",IF(N328="Pendente","Pendente",IF(N328="Não precisa no momento","Não Precisa no Momento",IF(L328="Sim","Plano de Tratamento",IF(J328="Não","Não Compareceu",IF(J328="Sim","Compareceu",IF(H328="Não","Perdido",IF(H328="Sim","Consulta Marcada",IF(A328="","","Novo Paciente")))))))))))</f>
        <v/>
      </c>
      <c r="S328" s="4"/>
      <c r="T328" s="10" t="str">
        <f aca="false">IF(A328="","",SUMPRODUCT(($R$2:R328=R328)*($A$2:A328&lt;&gt;"")))</f>
        <v/>
      </c>
      <c r="U328" s="10" t="str">
        <f aca="false">IF(A328="","",R328&amp;"|"&amp;T328)</f>
        <v/>
      </c>
      <c r="V328" s="10" t="str">
        <f aca="false">IF(G328="","",TEXT(G328,"mm/yyyy"))</f>
        <v/>
      </c>
      <c r="W328" s="10" t="str">
        <f aca="false">IF(P328="","",TEXT(P328,"mm/yyyy"))</f>
        <v/>
      </c>
      <c r="X328" s="10" t="str">
        <f aca="false">IF(A328="","",IF(OR(R328="Fechado (Total)",R328="Fechado (Parcial)"),"Fechado|"&amp;SUMPRODUCT((($R$2:R328="Fechado (Total)")+($R$2:R328="Fechado (Parcial)"))*($A$2:A328&lt;&gt;"")),""))</f>
        <v/>
      </c>
      <c r="Y328" s="10" t="str">
        <f aca="false">IF(A328="","",IF(D328="Indicação",SUMPRODUCT(($D$2:D328="Indicação")*($A$2:A328&lt;&gt;"")),""))</f>
        <v/>
      </c>
      <c r="Z328" s="10" t="str">
        <f aca="false">IF(Y328="","","Indicacao|"&amp;Y328)</f>
        <v/>
      </c>
      <c r="AA328" s="10" t="str">
        <f aca="false">IF(I328="","",TEXT(I328,"mm/yyyy"))</f>
        <v/>
      </c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8"/>
      <c r="H329" s="6"/>
      <c r="I329" s="8"/>
      <c r="J329" s="6"/>
      <c r="K329" s="6"/>
      <c r="L329" s="6"/>
      <c r="M329" s="7"/>
      <c r="N329" s="6"/>
      <c r="O329" s="7"/>
      <c r="P329" s="8"/>
      <c r="Q329" s="4"/>
      <c r="R329" s="9" t="str">
        <f aca="false">IF(N329="Sim","Fechado (Total)",IF(N329="Parcial","Fechado (Parcial)",IF(N329="Não","Perdido",IF(N329="Pendente","Pendente",IF(N329="Não precisa no momento","Não Precisa no Momento",IF(L329="Sim","Plano de Tratamento",IF(J329="Não","Não Compareceu",IF(J329="Sim","Compareceu",IF(H329="Não","Perdido",IF(H329="Sim","Consulta Marcada",IF(A329="","","Novo Paciente")))))))))))</f>
        <v/>
      </c>
      <c r="S329" s="4"/>
      <c r="T329" s="10" t="str">
        <f aca="false">IF(A329="","",SUMPRODUCT(($R$2:R329=R329)*($A$2:A329&lt;&gt;"")))</f>
        <v/>
      </c>
      <c r="U329" s="10" t="str">
        <f aca="false">IF(A329="","",R329&amp;"|"&amp;T329)</f>
        <v/>
      </c>
      <c r="V329" s="10" t="str">
        <f aca="false">IF(G329="","",TEXT(G329,"mm/yyyy"))</f>
        <v/>
      </c>
      <c r="W329" s="10" t="str">
        <f aca="false">IF(P329="","",TEXT(P329,"mm/yyyy"))</f>
        <v/>
      </c>
      <c r="X329" s="10" t="str">
        <f aca="false">IF(A329="","",IF(OR(R329="Fechado (Total)",R329="Fechado (Parcial)"),"Fechado|"&amp;SUMPRODUCT((($R$2:R329="Fechado (Total)")+($R$2:R329="Fechado (Parcial)"))*($A$2:A329&lt;&gt;"")),""))</f>
        <v/>
      </c>
      <c r="Y329" s="10" t="str">
        <f aca="false">IF(A329="","",IF(D329="Indicação",SUMPRODUCT(($D$2:D329="Indicação")*($A$2:A329&lt;&gt;"")),""))</f>
        <v/>
      </c>
      <c r="Z329" s="10" t="str">
        <f aca="false">IF(Y329="","","Indicacao|"&amp;Y329)</f>
        <v/>
      </c>
      <c r="AA329" s="10" t="str">
        <f aca="false">IF(I329="","",TEXT(I329,"mm/yyyy"))</f>
        <v/>
      </c>
    </row>
    <row r="330" customFormat="false" ht="15" hidden="false" customHeight="true" outlineLevel="0" collapsed="false">
      <c r="A330" s="4"/>
      <c r="B330" s="4"/>
      <c r="C330" s="4"/>
      <c r="D330" s="4"/>
      <c r="E330" s="4"/>
      <c r="F330" s="4"/>
      <c r="G330" s="8"/>
      <c r="H330" s="6"/>
      <c r="I330" s="8"/>
      <c r="J330" s="6"/>
      <c r="K330" s="6"/>
      <c r="L330" s="6"/>
      <c r="M330" s="7"/>
      <c r="N330" s="6"/>
      <c r="O330" s="7"/>
      <c r="P330" s="8"/>
      <c r="Q330" s="4"/>
      <c r="R330" s="9" t="str">
        <f aca="false">IF(N330="Sim","Fechado (Total)",IF(N330="Parcial","Fechado (Parcial)",IF(N330="Não","Perdido",IF(N330="Pendente","Pendente",IF(N330="Não precisa no momento","Não Precisa no Momento",IF(L330="Sim","Plano de Tratamento",IF(J330="Não","Não Compareceu",IF(J330="Sim","Compareceu",IF(H330="Não","Perdido",IF(H330="Sim","Consulta Marcada",IF(A330="","","Novo Paciente")))))))))))</f>
        <v/>
      </c>
      <c r="S330" s="4"/>
      <c r="T330" s="10" t="str">
        <f aca="false">IF(A330="","",SUMPRODUCT(($R$2:R330=R330)*($A$2:A330&lt;&gt;"")))</f>
        <v/>
      </c>
      <c r="U330" s="10" t="str">
        <f aca="false">IF(A330="","",R330&amp;"|"&amp;T330)</f>
        <v/>
      </c>
      <c r="V330" s="10" t="str">
        <f aca="false">IF(G330="","",TEXT(G330,"mm/yyyy"))</f>
        <v/>
      </c>
      <c r="W330" s="10" t="str">
        <f aca="false">IF(P330="","",TEXT(P330,"mm/yyyy"))</f>
        <v/>
      </c>
      <c r="X330" s="10" t="str">
        <f aca="false">IF(A330="","",IF(OR(R330="Fechado (Total)",R330="Fechado (Parcial)"),"Fechado|"&amp;SUMPRODUCT((($R$2:R330="Fechado (Total)")+($R$2:R330="Fechado (Parcial)"))*($A$2:A330&lt;&gt;"")),""))</f>
        <v/>
      </c>
      <c r="Y330" s="10" t="str">
        <f aca="false">IF(A330="","",IF(D330="Indicação",SUMPRODUCT(($D$2:D330="Indicação")*($A$2:A330&lt;&gt;"")),""))</f>
        <v/>
      </c>
      <c r="Z330" s="10" t="str">
        <f aca="false">IF(Y330="","","Indicacao|"&amp;Y330)</f>
        <v/>
      </c>
      <c r="AA330" s="10" t="str">
        <f aca="false">IF(I330="","",TEXT(I330,"mm/yyyy"))</f>
        <v/>
      </c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8"/>
      <c r="H331" s="6"/>
      <c r="I331" s="8"/>
      <c r="J331" s="6"/>
      <c r="K331" s="6"/>
      <c r="L331" s="6"/>
      <c r="M331" s="7"/>
      <c r="N331" s="6"/>
      <c r="O331" s="7"/>
      <c r="P331" s="8"/>
      <c r="Q331" s="4"/>
      <c r="R331" s="9" t="str">
        <f aca="false">IF(N331="Sim","Fechado (Total)",IF(N331="Parcial","Fechado (Parcial)",IF(N331="Não","Perdido",IF(N331="Pendente","Pendente",IF(N331="Não precisa no momento","Não Precisa no Momento",IF(L331="Sim","Plano de Tratamento",IF(J331="Não","Não Compareceu",IF(J331="Sim","Compareceu",IF(H331="Não","Perdido",IF(H331="Sim","Consulta Marcada",IF(A331="","","Novo Paciente")))))))))))</f>
        <v/>
      </c>
      <c r="S331" s="4"/>
      <c r="T331" s="10" t="str">
        <f aca="false">IF(A331="","",SUMPRODUCT(($R$2:R331=R331)*($A$2:A331&lt;&gt;"")))</f>
        <v/>
      </c>
      <c r="U331" s="10" t="str">
        <f aca="false">IF(A331="","",R331&amp;"|"&amp;T331)</f>
        <v/>
      </c>
      <c r="V331" s="10" t="str">
        <f aca="false">IF(G331="","",TEXT(G331,"mm/yyyy"))</f>
        <v/>
      </c>
      <c r="W331" s="10" t="str">
        <f aca="false">IF(P331="","",TEXT(P331,"mm/yyyy"))</f>
        <v/>
      </c>
      <c r="X331" s="10" t="str">
        <f aca="false">IF(A331="","",IF(OR(R331="Fechado (Total)",R331="Fechado (Parcial)"),"Fechado|"&amp;SUMPRODUCT((($R$2:R331="Fechado (Total)")+($R$2:R331="Fechado (Parcial)"))*($A$2:A331&lt;&gt;"")),""))</f>
        <v/>
      </c>
      <c r="Y331" s="10" t="str">
        <f aca="false">IF(A331="","",IF(D331="Indicação",SUMPRODUCT(($D$2:D331="Indicação")*($A$2:A331&lt;&gt;"")),""))</f>
        <v/>
      </c>
      <c r="Z331" s="10" t="str">
        <f aca="false">IF(Y331="","","Indicacao|"&amp;Y331)</f>
        <v/>
      </c>
      <c r="AA331" s="10" t="str">
        <f aca="false">IF(I331="","",TEXT(I331,"mm/yyyy"))</f>
        <v/>
      </c>
    </row>
    <row r="332" customFormat="false" ht="15" hidden="false" customHeight="true" outlineLevel="0" collapsed="false">
      <c r="A332" s="4"/>
      <c r="B332" s="4"/>
      <c r="C332" s="4"/>
      <c r="D332" s="4"/>
      <c r="E332" s="4"/>
      <c r="F332" s="4"/>
      <c r="G332" s="8"/>
      <c r="H332" s="6"/>
      <c r="I332" s="8"/>
      <c r="J332" s="6"/>
      <c r="K332" s="6"/>
      <c r="L332" s="6"/>
      <c r="M332" s="7"/>
      <c r="N332" s="6"/>
      <c r="O332" s="7"/>
      <c r="P332" s="8"/>
      <c r="Q332" s="4"/>
      <c r="R332" s="9" t="str">
        <f aca="false">IF(N332="Sim","Fechado (Total)",IF(N332="Parcial","Fechado (Parcial)",IF(N332="Não","Perdido",IF(N332="Pendente","Pendente",IF(N332="Não precisa no momento","Não Precisa no Momento",IF(L332="Sim","Plano de Tratamento",IF(J332="Não","Não Compareceu",IF(J332="Sim","Compareceu",IF(H332="Não","Perdido",IF(H332="Sim","Consulta Marcada",IF(A332="","","Novo Paciente")))))))))))</f>
        <v/>
      </c>
      <c r="S332" s="4"/>
      <c r="T332" s="10" t="str">
        <f aca="false">IF(A332="","",SUMPRODUCT(($R$2:R332=R332)*($A$2:A332&lt;&gt;"")))</f>
        <v/>
      </c>
      <c r="U332" s="10" t="str">
        <f aca="false">IF(A332="","",R332&amp;"|"&amp;T332)</f>
        <v/>
      </c>
      <c r="V332" s="10" t="str">
        <f aca="false">IF(G332="","",TEXT(G332,"mm/yyyy"))</f>
        <v/>
      </c>
      <c r="W332" s="10" t="str">
        <f aca="false">IF(P332="","",TEXT(P332,"mm/yyyy"))</f>
        <v/>
      </c>
      <c r="X332" s="10" t="str">
        <f aca="false">IF(A332="","",IF(OR(R332="Fechado (Total)",R332="Fechado (Parcial)"),"Fechado|"&amp;SUMPRODUCT((($R$2:R332="Fechado (Total)")+($R$2:R332="Fechado (Parcial)"))*($A$2:A332&lt;&gt;"")),""))</f>
        <v/>
      </c>
      <c r="Y332" s="10" t="str">
        <f aca="false">IF(A332="","",IF(D332="Indicação",SUMPRODUCT(($D$2:D332="Indicação")*($A$2:A332&lt;&gt;"")),""))</f>
        <v/>
      </c>
      <c r="Z332" s="10" t="str">
        <f aca="false">IF(Y332="","","Indicacao|"&amp;Y332)</f>
        <v/>
      </c>
      <c r="AA332" s="10" t="str">
        <f aca="false">IF(I332="","",TEXT(I332,"mm/yyyy"))</f>
        <v/>
      </c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8"/>
      <c r="H333" s="6"/>
      <c r="I333" s="8"/>
      <c r="J333" s="6"/>
      <c r="K333" s="6"/>
      <c r="L333" s="6"/>
      <c r="M333" s="7"/>
      <c r="N333" s="6"/>
      <c r="O333" s="7"/>
      <c r="P333" s="8"/>
      <c r="Q333" s="4"/>
      <c r="R333" s="9" t="str">
        <f aca="false">IF(N333="Sim","Fechado (Total)",IF(N333="Parcial","Fechado (Parcial)",IF(N333="Não","Perdido",IF(N333="Pendente","Pendente",IF(N333="Não precisa no momento","Não Precisa no Momento",IF(L333="Sim","Plano de Tratamento",IF(J333="Não","Não Compareceu",IF(J333="Sim","Compareceu",IF(H333="Não","Perdido",IF(H333="Sim","Consulta Marcada",IF(A333="","","Novo Paciente")))))))))))</f>
        <v/>
      </c>
      <c r="S333" s="4"/>
      <c r="T333" s="10" t="str">
        <f aca="false">IF(A333="","",SUMPRODUCT(($R$2:R333=R333)*($A$2:A333&lt;&gt;"")))</f>
        <v/>
      </c>
      <c r="U333" s="10" t="str">
        <f aca="false">IF(A333="","",R333&amp;"|"&amp;T333)</f>
        <v/>
      </c>
      <c r="V333" s="10" t="str">
        <f aca="false">IF(G333="","",TEXT(G333,"mm/yyyy"))</f>
        <v/>
      </c>
      <c r="W333" s="10" t="str">
        <f aca="false">IF(P333="","",TEXT(P333,"mm/yyyy"))</f>
        <v/>
      </c>
      <c r="X333" s="10" t="str">
        <f aca="false">IF(A333="","",IF(OR(R333="Fechado (Total)",R333="Fechado (Parcial)"),"Fechado|"&amp;SUMPRODUCT((($R$2:R333="Fechado (Total)")+($R$2:R333="Fechado (Parcial)"))*($A$2:A333&lt;&gt;"")),""))</f>
        <v/>
      </c>
      <c r="Y333" s="10" t="str">
        <f aca="false">IF(A333="","",IF(D333="Indicação",SUMPRODUCT(($D$2:D333="Indicação")*($A$2:A333&lt;&gt;"")),""))</f>
        <v/>
      </c>
      <c r="Z333" s="10" t="str">
        <f aca="false">IF(Y333="","","Indicacao|"&amp;Y333)</f>
        <v/>
      </c>
      <c r="AA333" s="10" t="str">
        <f aca="false">IF(I333="","",TEXT(I333,"mm/yyyy"))</f>
        <v/>
      </c>
    </row>
    <row r="334" customFormat="false" ht="15" hidden="false" customHeight="true" outlineLevel="0" collapsed="false">
      <c r="A334" s="4"/>
      <c r="B334" s="4"/>
      <c r="C334" s="4"/>
      <c r="D334" s="4"/>
      <c r="E334" s="4"/>
      <c r="F334" s="4"/>
      <c r="G334" s="8"/>
      <c r="H334" s="6"/>
      <c r="I334" s="8"/>
      <c r="J334" s="6"/>
      <c r="K334" s="6"/>
      <c r="L334" s="6"/>
      <c r="M334" s="7"/>
      <c r="N334" s="6"/>
      <c r="O334" s="7"/>
      <c r="P334" s="8"/>
      <c r="Q334" s="4"/>
      <c r="R334" s="9" t="str">
        <f aca="false">IF(N334="Sim","Fechado (Total)",IF(N334="Parcial","Fechado (Parcial)",IF(N334="Não","Perdido",IF(N334="Pendente","Pendente",IF(N334="Não precisa no momento","Não Precisa no Momento",IF(L334="Sim","Plano de Tratamento",IF(J334="Não","Não Compareceu",IF(J334="Sim","Compareceu",IF(H334="Não","Perdido",IF(H334="Sim","Consulta Marcada",IF(A334="","","Novo Paciente")))))))))))</f>
        <v/>
      </c>
      <c r="S334" s="4"/>
      <c r="T334" s="10" t="str">
        <f aca="false">IF(A334="","",SUMPRODUCT(($R$2:R334=R334)*($A$2:A334&lt;&gt;"")))</f>
        <v/>
      </c>
      <c r="U334" s="10" t="str">
        <f aca="false">IF(A334="","",R334&amp;"|"&amp;T334)</f>
        <v/>
      </c>
      <c r="V334" s="10" t="str">
        <f aca="false">IF(G334="","",TEXT(G334,"mm/yyyy"))</f>
        <v/>
      </c>
      <c r="W334" s="10" t="str">
        <f aca="false">IF(P334="","",TEXT(P334,"mm/yyyy"))</f>
        <v/>
      </c>
      <c r="X334" s="10" t="str">
        <f aca="false">IF(A334="","",IF(OR(R334="Fechado (Total)",R334="Fechado (Parcial)"),"Fechado|"&amp;SUMPRODUCT((($R$2:R334="Fechado (Total)")+($R$2:R334="Fechado (Parcial)"))*($A$2:A334&lt;&gt;"")),""))</f>
        <v/>
      </c>
      <c r="Y334" s="10" t="str">
        <f aca="false">IF(A334="","",IF(D334="Indicação",SUMPRODUCT(($D$2:D334="Indicação")*($A$2:A334&lt;&gt;"")),""))</f>
        <v/>
      </c>
      <c r="Z334" s="10" t="str">
        <f aca="false">IF(Y334="","","Indicacao|"&amp;Y334)</f>
        <v/>
      </c>
      <c r="AA334" s="10" t="str">
        <f aca="false">IF(I334="","",TEXT(I334,"mm/yyyy"))</f>
        <v/>
      </c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8"/>
      <c r="H335" s="6"/>
      <c r="I335" s="8"/>
      <c r="J335" s="6"/>
      <c r="K335" s="6"/>
      <c r="L335" s="6"/>
      <c r="M335" s="7"/>
      <c r="N335" s="6"/>
      <c r="O335" s="7"/>
      <c r="P335" s="8"/>
      <c r="Q335" s="4"/>
      <c r="R335" s="9" t="str">
        <f aca="false">IF(N335="Sim","Fechado (Total)",IF(N335="Parcial","Fechado (Parcial)",IF(N335="Não","Perdido",IF(N335="Pendente","Pendente",IF(N335="Não precisa no momento","Não Precisa no Momento",IF(L335="Sim","Plano de Tratamento",IF(J335="Não","Não Compareceu",IF(J335="Sim","Compareceu",IF(H335="Não","Perdido",IF(H335="Sim","Consulta Marcada",IF(A335="","","Novo Paciente")))))))))))</f>
        <v/>
      </c>
      <c r="S335" s="4"/>
      <c r="T335" s="10" t="str">
        <f aca="false">IF(A335="","",SUMPRODUCT(($R$2:R335=R335)*($A$2:A335&lt;&gt;"")))</f>
        <v/>
      </c>
      <c r="U335" s="10" t="str">
        <f aca="false">IF(A335="","",R335&amp;"|"&amp;T335)</f>
        <v/>
      </c>
      <c r="V335" s="10" t="str">
        <f aca="false">IF(G335="","",TEXT(G335,"mm/yyyy"))</f>
        <v/>
      </c>
      <c r="W335" s="10" t="str">
        <f aca="false">IF(P335="","",TEXT(P335,"mm/yyyy"))</f>
        <v/>
      </c>
      <c r="X335" s="10" t="str">
        <f aca="false">IF(A335="","",IF(OR(R335="Fechado (Total)",R335="Fechado (Parcial)"),"Fechado|"&amp;SUMPRODUCT((($R$2:R335="Fechado (Total)")+($R$2:R335="Fechado (Parcial)"))*($A$2:A335&lt;&gt;"")),""))</f>
        <v/>
      </c>
      <c r="Y335" s="10" t="str">
        <f aca="false">IF(A335="","",IF(D335="Indicação",SUMPRODUCT(($D$2:D335="Indicação")*($A$2:A335&lt;&gt;"")),""))</f>
        <v/>
      </c>
      <c r="Z335" s="10" t="str">
        <f aca="false">IF(Y335="","","Indicacao|"&amp;Y335)</f>
        <v/>
      </c>
      <c r="AA335" s="10" t="str">
        <f aca="false">IF(I335="","",TEXT(I335,"mm/yyyy"))</f>
        <v/>
      </c>
    </row>
    <row r="336" customFormat="false" ht="15" hidden="false" customHeight="true" outlineLevel="0" collapsed="false">
      <c r="A336" s="4"/>
      <c r="B336" s="4"/>
      <c r="C336" s="4"/>
      <c r="D336" s="4"/>
      <c r="E336" s="4"/>
      <c r="F336" s="4"/>
      <c r="G336" s="8"/>
      <c r="H336" s="6"/>
      <c r="I336" s="8"/>
      <c r="J336" s="6"/>
      <c r="K336" s="6"/>
      <c r="L336" s="6"/>
      <c r="M336" s="7"/>
      <c r="N336" s="6"/>
      <c r="O336" s="7"/>
      <c r="P336" s="8"/>
      <c r="Q336" s="4"/>
      <c r="R336" s="9" t="str">
        <f aca="false">IF(N336="Sim","Fechado (Total)",IF(N336="Parcial","Fechado (Parcial)",IF(N336="Não","Perdido",IF(N336="Pendente","Pendente",IF(N336="Não precisa no momento","Não Precisa no Momento",IF(L336="Sim","Plano de Tratamento",IF(J336="Não","Não Compareceu",IF(J336="Sim","Compareceu",IF(H336="Não","Perdido",IF(H336="Sim","Consulta Marcada",IF(A336="","","Novo Paciente")))))))))))</f>
        <v/>
      </c>
      <c r="S336" s="4"/>
      <c r="T336" s="10" t="str">
        <f aca="false">IF(A336="","",SUMPRODUCT(($R$2:R336=R336)*($A$2:A336&lt;&gt;"")))</f>
        <v/>
      </c>
      <c r="U336" s="10" t="str">
        <f aca="false">IF(A336="","",R336&amp;"|"&amp;T336)</f>
        <v/>
      </c>
      <c r="V336" s="10" t="str">
        <f aca="false">IF(G336="","",TEXT(G336,"mm/yyyy"))</f>
        <v/>
      </c>
      <c r="W336" s="10" t="str">
        <f aca="false">IF(P336="","",TEXT(P336,"mm/yyyy"))</f>
        <v/>
      </c>
      <c r="X336" s="10" t="str">
        <f aca="false">IF(A336="","",IF(OR(R336="Fechado (Total)",R336="Fechado (Parcial)"),"Fechado|"&amp;SUMPRODUCT((($R$2:R336="Fechado (Total)")+($R$2:R336="Fechado (Parcial)"))*($A$2:A336&lt;&gt;"")),""))</f>
        <v/>
      </c>
      <c r="Y336" s="10" t="str">
        <f aca="false">IF(A336="","",IF(D336="Indicação",SUMPRODUCT(($D$2:D336="Indicação")*($A$2:A336&lt;&gt;"")),""))</f>
        <v/>
      </c>
      <c r="Z336" s="10" t="str">
        <f aca="false">IF(Y336="","","Indicacao|"&amp;Y336)</f>
        <v/>
      </c>
      <c r="AA336" s="10" t="str">
        <f aca="false">IF(I336="","",TEXT(I336,"mm/yyyy"))</f>
        <v/>
      </c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8"/>
      <c r="H337" s="6"/>
      <c r="I337" s="8"/>
      <c r="J337" s="6"/>
      <c r="K337" s="6"/>
      <c r="L337" s="6"/>
      <c r="M337" s="7"/>
      <c r="N337" s="6"/>
      <c r="O337" s="7"/>
      <c r="P337" s="8"/>
      <c r="Q337" s="4"/>
      <c r="R337" s="9" t="str">
        <f aca="false">IF(N337="Sim","Fechado (Total)",IF(N337="Parcial","Fechado (Parcial)",IF(N337="Não","Perdido",IF(N337="Pendente","Pendente",IF(N337="Não precisa no momento","Não Precisa no Momento",IF(L337="Sim","Plano de Tratamento",IF(J337="Não","Não Compareceu",IF(J337="Sim","Compareceu",IF(H337="Não","Perdido",IF(H337="Sim","Consulta Marcada",IF(A337="","","Novo Paciente")))))))))))</f>
        <v/>
      </c>
      <c r="S337" s="4"/>
      <c r="T337" s="10" t="str">
        <f aca="false">IF(A337="","",SUMPRODUCT(($R$2:R337=R337)*($A$2:A337&lt;&gt;"")))</f>
        <v/>
      </c>
      <c r="U337" s="10" t="str">
        <f aca="false">IF(A337="","",R337&amp;"|"&amp;T337)</f>
        <v/>
      </c>
      <c r="V337" s="10" t="str">
        <f aca="false">IF(G337="","",TEXT(G337,"mm/yyyy"))</f>
        <v/>
      </c>
      <c r="W337" s="10" t="str">
        <f aca="false">IF(P337="","",TEXT(P337,"mm/yyyy"))</f>
        <v/>
      </c>
      <c r="X337" s="10" t="str">
        <f aca="false">IF(A337="","",IF(OR(R337="Fechado (Total)",R337="Fechado (Parcial)"),"Fechado|"&amp;SUMPRODUCT((($R$2:R337="Fechado (Total)")+($R$2:R337="Fechado (Parcial)"))*($A$2:A337&lt;&gt;"")),""))</f>
        <v/>
      </c>
      <c r="Y337" s="10" t="str">
        <f aca="false">IF(A337="","",IF(D337="Indicação",SUMPRODUCT(($D$2:D337="Indicação")*($A$2:A337&lt;&gt;"")),""))</f>
        <v/>
      </c>
      <c r="Z337" s="10" t="str">
        <f aca="false">IF(Y337="","","Indicacao|"&amp;Y337)</f>
        <v/>
      </c>
      <c r="AA337" s="10" t="str">
        <f aca="false">IF(I337="","",TEXT(I337,"mm/yyyy"))</f>
        <v/>
      </c>
    </row>
    <row r="338" customFormat="false" ht="15" hidden="false" customHeight="true" outlineLevel="0" collapsed="false">
      <c r="A338" s="4"/>
      <c r="B338" s="4"/>
      <c r="C338" s="4"/>
      <c r="D338" s="4"/>
      <c r="E338" s="4"/>
      <c r="F338" s="4"/>
      <c r="G338" s="8"/>
      <c r="H338" s="6"/>
      <c r="I338" s="8"/>
      <c r="J338" s="6"/>
      <c r="K338" s="6"/>
      <c r="L338" s="6"/>
      <c r="M338" s="7"/>
      <c r="N338" s="6"/>
      <c r="O338" s="7"/>
      <c r="P338" s="8"/>
      <c r="Q338" s="4"/>
      <c r="R338" s="9" t="str">
        <f aca="false">IF(N338="Sim","Fechado (Total)",IF(N338="Parcial","Fechado (Parcial)",IF(N338="Não","Perdido",IF(N338="Pendente","Pendente",IF(N338="Não precisa no momento","Não Precisa no Momento",IF(L338="Sim","Plano de Tratamento",IF(J338="Não","Não Compareceu",IF(J338="Sim","Compareceu",IF(H338="Não","Perdido",IF(H338="Sim","Consulta Marcada",IF(A338="","","Novo Paciente")))))))))))</f>
        <v/>
      </c>
      <c r="S338" s="4"/>
      <c r="T338" s="10" t="str">
        <f aca="false">IF(A338="","",SUMPRODUCT(($R$2:R338=R338)*($A$2:A338&lt;&gt;"")))</f>
        <v/>
      </c>
      <c r="U338" s="10" t="str">
        <f aca="false">IF(A338="","",R338&amp;"|"&amp;T338)</f>
        <v/>
      </c>
      <c r="V338" s="10" t="str">
        <f aca="false">IF(G338="","",TEXT(G338,"mm/yyyy"))</f>
        <v/>
      </c>
      <c r="W338" s="10" t="str">
        <f aca="false">IF(P338="","",TEXT(P338,"mm/yyyy"))</f>
        <v/>
      </c>
      <c r="X338" s="10" t="str">
        <f aca="false">IF(A338="","",IF(OR(R338="Fechado (Total)",R338="Fechado (Parcial)"),"Fechado|"&amp;SUMPRODUCT((($R$2:R338="Fechado (Total)")+($R$2:R338="Fechado (Parcial)"))*($A$2:A338&lt;&gt;"")),""))</f>
        <v/>
      </c>
      <c r="Y338" s="10" t="str">
        <f aca="false">IF(A338="","",IF(D338="Indicação",SUMPRODUCT(($D$2:D338="Indicação")*($A$2:A338&lt;&gt;"")),""))</f>
        <v/>
      </c>
      <c r="Z338" s="10" t="str">
        <f aca="false">IF(Y338="","","Indicacao|"&amp;Y338)</f>
        <v/>
      </c>
      <c r="AA338" s="10" t="str">
        <f aca="false">IF(I338="","",TEXT(I338,"mm/yyyy"))</f>
        <v/>
      </c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8"/>
      <c r="H339" s="6"/>
      <c r="I339" s="8"/>
      <c r="J339" s="6"/>
      <c r="K339" s="6"/>
      <c r="L339" s="6"/>
      <c r="M339" s="7"/>
      <c r="N339" s="6"/>
      <c r="O339" s="7"/>
      <c r="P339" s="8"/>
      <c r="Q339" s="4"/>
      <c r="R339" s="9" t="str">
        <f aca="false">IF(N339="Sim","Fechado (Total)",IF(N339="Parcial","Fechado (Parcial)",IF(N339="Não","Perdido",IF(N339="Pendente","Pendente",IF(N339="Não precisa no momento","Não Precisa no Momento",IF(L339="Sim","Plano de Tratamento",IF(J339="Não","Não Compareceu",IF(J339="Sim","Compareceu",IF(H339="Não","Perdido",IF(H339="Sim","Consulta Marcada",IF(A339="","","Novo Paciente")))))))))))</f>
        <v/>
      </c>
      <c r="S339" s="4"/>
      <c r="T339" s="10" t="str">
        <f aca="false">IF(A339="","",SUMPRODUCT(($R$2:R339=R339)*($A$2:A339&lt;&gt;"")))</f>
        <v/>
      </c>
      <c r="U339" s="10" t="str">
        <f aca="false">IF(A339="","",R339&amp;"|"&amp;T339)</f>
        <v/>
      </c>
      <c r="V339" s="10" t="str">
        <f aca="false">IF(G339="","",TEXT(G339,"mm/yyyy"))</f>
        <v/>
      </c>
      <c r="W339" s="10" t="str">
        <f aca="false">IF(P339="","",TEXT(P339,"mm/yyyy"))</f>
        <v/>
      </c>
      <c r="X339" s="10" t="str">
        <f aca="false">IF(A339="","",IF(OR(R339="Fechado (Total)",R339="Fechado (Parcial)"),"Fechado|"&amp;SUMPRODUCT((($R$2:R339="Fechado (Total)")+($R$2:R339="Fechado (Parcial)"))*($A$2:A339&lt;&gt;"")),""))</f>
        <v/>
      </c>
      <c r="Y339" s="10" t="str">
        <f aca="false">IF(A339="","",IF(D339="Indicação",SUMPRODUCT(($D$2:D339="Indicação")*($A$2:A339&lt;&gt;"")),""))</f>
        <v/>
      </c>
      <c r="Z339" s="10" t="str">
        <f aca="false">IF(Y339="","","Indicacao|"&amp;Y339)</f>
        <v/>
      </c>
      <c r="AA339" s="10" t="str">
        <f aca="false">IF(I339="","",TEXT(I339,"mm/yyyy"))</f>
        <v/>
      </c>
    </row>
    <row r="340" customFormat="false" ht="15" hidden="false" customHeight="true" outlineLevel="0" collapsed="false">
      <c r="A340" s="4"/>
      <c r="B340" s="4"/>
      <c r="C340" s="4"/>
      <c r="D340" s="4"/>
      <c r="E340" s="4"/>
      <c r="F340" s="4"/>
      <c r="G340" s="8"/>
      <c r="H340" s="6"/>
      <c r="I340" s="8"/>
      <c r="J340" s="6"/>
      <c r="K340" s="6"/>
      <c r="L340" s="6"/>
      <c r="M340" s="7"/>
      <c r="N340" s="6"/>
      <c r="O340" s="7"/>
      <c r="P340" s="8"/>
      <c r="Q340" s="4"/>
      <c r="R340" s="9" t="str">
        <f aca="false">IF(N340="Sim","Fechado (Total)",IF(N340="Parcial","Fechado (Parcial)",IF(N340="Não","Perdido",IF(N340="Pendente","Pendente",IF(N340="Não precisa no momento","Não Precisa no Momento",IF(L340="Sim","Plano de Tratamento",IF(J340="Não","Não Compareceu",IF(J340="Sim","Compareceu",IF(H340="Não","Perdido",IF(H340="Sim","Consulta Marcada",IF(A340="","","Novo Paciente")))))))))))</f>
        <v/>
      </c>
      <c r="S340" s="4"/>
      <c r="T340" s="10" t="str">
        <f aca="false">IF(A340="","",SUMPRODUCT(($R$2:R340=R340)*($A$2:A340&lt;&gt;"")))</f>
        <v/>
      </c>
      <c r="U340" s="10" t="str">
        <f aca="false">IF(A340="","",R340&amp;"|"&amp;T340)</f>
        <v/>
      </c>
      <c r="V340" s="10" t="str">
        <f aca="false">IF(G340="","",TEXT(G340,"mm/yyyy"))</f>
        <v/>
      </c>
      <c r="W340" s="10" t="str">
        <f aca="false">IF(P340="","",TEXT(P340,"mm/yyyy"))</f>
        <v/>
      </c>
      <c r="X340" s="10" t="str">
        <f aca="false">IF(A340="","",IF(OR(R340="Fechado (Total)",R340="Fechado (Parcial)"),"Fechado|"&amp;SUMPRODUCT((($R$2:R340="Fechado (Total)")+($R$2:R340="Fechado (Parcial)"))*($A$2:A340&lt;&gt;"")),""))</f>
        <v/>
      </c>
      <c r="Y340" s="10" t="str">
        <f aca="false">IF(A340="","",IF(D340="Indicação",SUMPRODUCT(($D$2:D340="Indicação")*($A$2:A340&lt;&gt;"")),""))</f>
        <v/>
      </c>
      <c r="Z340" s="10" t="str">
        <f aca="false">IF(Y340="","","Indicacao|"&amp;Y340)</f>
        <v/>
      </c>
      <c r="AA340" s="10" t="str">
        <f aca="false">IF(I340="","",TEXT(I340,"mm/yyyy"))</f>
        <v/>
      </c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8"/>
      <c r="H341" s="6"/>
      <c r="I341" s="8"/>
      <c r="J341" s="6"/>
      <c r="K341" s="6"/>
      <c r="L341" s="6"/>
      <c r="M341" s="7"/>
      <c r="N341" s="6"/>
      <c r="O341" s="7"/>
      <c r="P341" s="8"/>
      <c r="Q341" s="4"/>
      <c r="R341" s="9" t="str">
        <f aca="false">IF(N341="Sim","Fechado (Total)",IF(N341="Parcial","Fechado (Parcial)",IF(N341="Não","Perdido",IF(N341="Pendente","Pendente",IF(N341="Não precisa no momento","Não Precisa no Momento",IF(L341="Sim","Plano de Tratamento",IF(J341="Não","Não Compareceu",IF(J341="Sim","Compareceu",IF(H341="Não","Perdido",IF(H341="Sim","Consulta Marcada",IF(A341="","","Novo Paciente")))))))))))</f>
        <v/>
      </c>
      <c r="S341" s="4"/>
      <c r="T341" s="10" t="str">
        <f aca="false">IF(A341="","",SUMPRODUCT(($R$2:R341=R341)*($A$2:A341&lt;&gt;"")))</f>
        <v/>
      </c>
      <c r="U341" s="10" t="str">
        <f aca="false">IF(A341="","",R341&amp;"|"&amp;T341)</f>
        <v/>
      </c>
      <c r="V341" s="10" t="str">
        <f aca="false">IF(G341="","",TEXT(G341,"mm/yyyy"))</f>
        <v/>
      </c>
      <c r="W341" s="10" t="str">
        <f aca="false">IF(P341="","",TEXT(P341,"mm/yyyy"))</f>
        <v/>
      </c>
      <c r="X341" s="10" t="str">
        <f aca="false">IF(A341="","",IF(OR(R341="Fechado (Total)",R341="Fechado (Parcial)"),"Fechado|"&amp;SUMPRODUCT((($R$2:R341="Fechado (Total)")+($R$2:R341="Fechado (Parcial)"))*($A$2:A341&lt;&gt;"")),""))</f>
        <v/>
      </c>
      <c r="Y341" s="10" t="str">
        <f aca="false">IF(A341="","",IF(D341="Indicação",SUMPRODUCT(($D$2:D341="Indicação")*($A$2:A341&lt;&gt;"")),""))</f>
        <v/>
      </c>
      <c r="Z341" s="10" t="str">
        <f aca="false">IF(Y341="","","Indicacao|"&amp;Y341)</f>
        <v/>
      </c>
      <c r="AA341" s="10" t="str">
        <f aca="false">IF(I341="","",TEXT(I341,"mm/yyyy"))</f>
        <v/>
      </c>
    </row>
    <row r="342" customFormat="false" ht="15" hidden="false" customHeight="true" outlineLevel="0" collapsed="false">
      <c r="A342" s="4"/>
      <c r="B342" s="4"/>
      <c r="C342" s="4"/>
      <c r="D342" s="4"/>
      <c r="E342" s="4"/>
      <c r="F342" s="4"/>
      <c r="G342" s="8"/>
      <c r="H342" s="6"/>
      <c r="I342" s="8"/>
      <c r="J342" s="6"/>
      <c r="K342" s="6"/>
      <c r="L342" s="6"/>
      <c r="M342" s="7"/>
      <c r="N342" s="6"/>
      <c r="O342" s="7"/>
      <c r="P342" s="8"/>
      <c r="Q342" s="4"/>
      <c r="R342" s="9" t="str">
        <f aca="false">IF(N342="Sim","Fechado (Total)",IF(N342="Parcial","Fechado (Parcial)",IF(N342="Não","Perdido",IF(N342="Pendente","Pendente",IF(N342="Não precisa no momento","Não Precisa no Momento",IF(L342="Sim","Plano de Tratamento",IF(J342="Não","Não Compareceu",IF(J342="Sim","Compareceu",IF(H342="Não","Perdido",IF(H342="Sim","Consulta Marcada",IF(A342="","","Novo Paciente")))))))))))</f>
        <v/>
      </c>
      <c r="S342" s="4"/>
      <c r="T342" s="10" t="str">
        <f aca="false">IF(A342="","",SUMPRODUCT(($R$2:R342=R342)*($A$2:A342&lt;&gt;"")))</f>
        <v/>
      </c>
      <c r="U342" s="10" t="str">
        <f aca="false">IF(A342="","",R342&amp;"|"&amp;T342)</f>
        <v/>
      </c>
      <c r="V342" s="10" t="str">
        <f aca="false">IF(G342="","",TEXT(G342,"mm/yyyy"))</f>
        <v/>
      </c>
      <c r="W342" s="10" t="str">
        <f aca="false">IF(P342="","",TEXT(P342,"mm/yyyy"))</f>
        <v/>
      </c>
      <c r="X342" s="10" t="str">
        <f aca="false">IF(A342="","",IF(OR(R342="Fechado (Total)",R342="Fechado (Parcial)"),"Fechado|"&amp;SUMPRODUCT((($R$2:R342="Fechado (Total)")+($R$2:R342="Fechado (Parcial)"))*($A$2:A342&lt;&gt;"")),""))</f>
        <v/>
      </c>
      <c r="Y342" s="10" t="str">
        <f aca="false">IF(A342="","",IF(D342="Indicação",SUMPRODUCT(($D$2:D342="Indicação")*($A$2:A342&lt;&gt;"")),""))</f>
        <v/>
      </c>
      <c r="Z342" s="10" t="str">
        <f aca="false">IF(Y342="","","Indicacao|"&amp;Y342)</f>
        <v/>
      </c>
      <c r="AA342" s="10" t="str">
        <f aca="false">IF(I342="","",TEXT(I342,"mm/yyyy"))</f>
        <v/>
      </c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8"/>
      <c r="H343" s="6"/>
      <c r="I343" s="8"/>
      <c r="J343" s="6"/>
      <c r="K343" s="6"/>
      <c r="L343" s="6"/>
      <c r="M343" s="7"/>
      <c r="N343" s="6"/>
      <c r="O343" s="7"/>
      <c r="P343" s="8"/>
      <c r="Q343" s="4"/>
      <c r="R343" s="9" t="str">
        <f aca="false">IF(N343="Sim","Fechado (Total)",IF(N343="Parcial","Fechado (Parcial)",IF(N343="Não","Perdido",IF(N343="Pendente","Pendente",IF(N343="Não precisa no momento","Não Precisa no Momento",IF(L343="Sim","Plano de Tratamento",IF(J343="Não","Não Compareceu",IF(J343="Sim","Compareceu",IF(H343="Não","Perdido",IF(H343="Sim","Consulta Marcada",IF(A343="","","Novo Paciente")))))))))))</f>
        <v/>
      </c>
      <c r="S343" s="4"/>
      <c r="T343" s="10" t="str">
        <f aca="false">IF(A343="","",SUMPRODUCT(($R$2:R343=R343)*($A$2:A343&lt;&gt;"")))</f>
        <v/>
      </c>
      <c r="U343" s="10" t="str">
        <f aca="false">IF(A343="","",R343&amp;"|"&amp;T343)</f>
        <v/>
      </c>
      <c r="V343" s="10" t="str">
        <f aca="false">IF(G343="","",TEXT(G343,"mm/yyyy"))</f>
        <v/>
      </c>
      <c r="W343" s="10" t="str">
        <f aca="false">IF(P343="","",TEXT(P343,"mm/yyyy"))</f>
        <v/>
      </c>
      <c r="X343" s="10" t="str">
        <f aca="false">IF(A343="","",IF(OR(R343="Fechado (Total)",R343="Fechado (Parcial)"),"Fechado|"&amp;SUMPRODUCT((($R$2:R343="Fechado (Total)")+($R$2:R343="Fechado (Parcial)"))*($A$2:A343&lt;&gt;"")),""))</f>
        <v/>
      </c>
      <c r="Y343" s="10" t="str">
        <f aca="false">IF(A343="","",IF(D343="Indicação",SUMPRODUCT(($D$2:D343="Indicação")*($A$2:A343&lt;&gt;"")),""))</f>
        <v/>
      </c>
      <c r="Z343" s="10" t="str">
        <f aca="false">IF(Y343="","","Indicacao|"&amp;Y343)</f>
        <v/>
      </c>
      <c r="AA343" s="10" t="str">
        <f aca="false">IF(I343="","",TEXT(I343,"mm/yyyy"))</f>
        <v/>
      </c>
    </row>
    <row r="344" customFormat="false" ht="15" hidden="false" customHeight="true" outlineLevel="0" collapsed="false">
      <c r="A344" s="4"/>
      <c r="B344" s="4"/>
      <c r="C344" s="4"/>
      <c r="D344" s="4"/>
      <c r="E344" s="4"/>
      <c r="F344" s="4"/>
      <c r="G344" s="8"/>
      <c r="H344" s="6"/>
      <c r="I344" s="8"/>
      <c r="J344" s="6"/>
      <c r="K344" s="6"/>
      <c r="L344" s="6"/>
      <c r="M344" s="7"/>
      <c r="N344" s="6"/>
      <c r="O344" s="7"/>
      <c r="P344" s="8"/>
      <c r="Q344" s="4"/>
      <c r="R344" s="9" t="str">
        <f aca="false">IF(N344="Sim","Fechado (Total)",IF(N344="Parcial","Fechado (Parcial)",IF(N344="Não","Perdido",IF(N344="Pendente","Pendente",IF(N344="Não precisa no momento","Não Precisa no Momento",IF(L344="Sim","Plano de Tratamento",IF(J344="Não","Não Compareceu",IF(J344="Sim","Compareceu",IF(H344="Não","Perdido",IF(H344="Sim","Consulta Marcada",IF(A344="","","Novo Paciente")))))))))))</f>
        <v/>
      </c>
      <c r="S344" s="4"/>
      <c r="T344" s="10" t="str">
        <f aca="false">IF(A344="","",SUMPRODUCT(($R$2:R344=R344)*($A$2:A344&lt;&gt;"")))</f>
        <v/>
      </c>
      <c r="U344" s="10" t="str">
        <f aca="false">IF(A344="","",R344&amp;"|"&amp;T344)</f>
        <v/>
      </c>
      <c r="V344" s="10" t="str">
        <f aca="false">IF(G344="","",TEXT(G344,"mm/yyyy"))</f>
        <v/>
      </c>
      <c r="W344" s="10" t="str">
        <f aca="false">IF(P344="","",TEXT(P344,"mm/yyyy"))</f>
        <v/>
      </c>
      <c r="X344" s="10" t="str">
        <f aca="false">IF(A344="","",IF(OR(R344="Fechado (Total)",R344="Fechado (Parcial)"),"Fechado|"&amp;SUMPRODUCT((($R$2:R344="Fechado (Total)")+($R$2:R344="Fechado (Parcial)"))*($A$2:A344&lt;&gt;"")),""))</f>
        <v/>
      </c>
      <c r="Y344" s="10" t="str">
        <f aca="false">IF(A344="","",IF(D344="Indicação",SUMPRODUCT(($D$2:D344="Indicação")*($A$2:A344&lt;&gt;"")),""))</f>
        <v/>
      </c>
      <c r="Z344" s="10" t="str">
        <f aca="false">IF(Y344="","","Indicacao|"&amp;Y344)</f>
        <v/>
      </c>
      <c r="AA344" s="10" t="str">
        <f aca="false">IF(I344="","",TEXT(I344,"mm/yyyy"))</f>
        <v/>
      </c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8"/>
      <c r="H345" s="6"/>
      <c r="I345" s="8"/>
      <c r="J345" s="6"/>
      <c r="K345" s="6"/>
      <c r="L345" s="6"/>
      <c r="M345" s="7"/>
      <c r="N345" s="6"/>
      <c r="O345" s="7"/>
      <c r="P345" s="8"/>
      <c r="Q345" s="4"/>
      <c r="R345" s="9" t="str">
        <f aca="false">IF(N345="Sim","Fechado (Total)",IF(N345="Parcial","Fechado (Parcial)",IF(N345="Não","Perdido",IF(N345="Pendente","Pendente",IF(N345="Não precisa no momento","Não Precisa no Momento",IF(L345="Sim","Plano de Tratamento",IF(J345="Não","Não Compareceu",IF(J345="Sim","Compareceu",IF(H345="Não","Perdido",IF(H345="Sim","Consulta Marcada",IF(A345="","","Novo Paciente")))))))))))</f>
        <v/>
      </c>
      <c r="S345" s="4"/>
      <c r="T345" s="10" t="str">
        <f aca="false">IF(A345="","",SUMPRODUCT(($R$2:R345=R345)*($A$2:A345&lt;&gt;"")))</f>
        <v/>
      </c>
      <c r="U345" s="10" t="str">
        <f aca="false">IF(A345="","",R345&amp;"|"&amp;T345)</f>
        <v/>
      </c>
      <c r="V345" s="10" t="str">
        <f aca="false">IF(G345="","",TEXT(G345,"mm/yyyy"))</f>
        <v/>
      </c>
      <c r="W345" s="10" t="str">
        <f aca="false">IF(P345="","",TEXT(P345,"mm/yyyy"))</f>
        <v/>
      </c>
      <c r="X345" s="10" t="str">
        <f aca="false">IF(A345="","",IF(OR(R345="Fechado (Total)",R345="Fechado (Parcial)"),"Fechado|"&amp;SUMPRODUCT((($R$2:R345="Fechado (Total)")+($R$2:R345="Fechado (Parcial)"))*($A$2:A345&lt;&gt;"")),""))</f>
        <v/>
      </c>
      <c r="Y345" s="10" t="str">
        <f aca="false">IF(A345="","",IF(D345="Indicação",SUMPRODUCT(($D$2:D345="Indicação")*($A$2:A345&lt;&gt;"")),""))</f>
        <v/>
      </c>
      <c r="Z345" s="10" t="str">
        <f aca="false">IF(Y345="","","Indicacao|"&amp;Y345)</f>
        <v/>
      </c>
      <c r="AA345" s="10" t="str">
        <f aca="false">IF(I345="","",TEXT(I345,"mm/yyyy"))</f>
        <v/>
      </c>
    </row>
    <row r="346" customFormat="false" ht="15" hidden="false" customHeight="true" outlineLevel="0" collapsed="false">
      <c r="A346" s="4"/>
      <c r="B346" s="4"/>
      <c r="C346" s="4"/>
      <c r="D346" s="4"/>
      <c r="E346" s="4"/>
      <c r="F346" s="4"/>
      <c r="G346" s="8"/>
      <c r="H346" s="6"/>
      <c r="I346" s="8"/>
      <c r="J346" s="6"/>
      <c r="K346" s="6"/>
      <c r="L346" s="6"/>
      <c r="M346" s="7"/>
      <c r="N346" s="6"/>
      <c r="O346" s="7"/>
      <c r="P346" s="8"/>
      <c r="Q346" s="4"/>
      <c r="R346" s="9" t="str">
        <f aca="false">IF(N346="Sim","Fechado (Total)",IF(N346="Parcial","Fechado (Parcial)",IF(N346="Não","Perdido",IF(N346="Pendente","Pendente",IF(N346="Não precisa no momento","Não Precisa no Momento",IF(L346="Sim","Plano de Tratamento",IF(J346="Não","Não Compareceu",IF(J346="Sim","Compareceu",IF(H346="Não","Perdido",IF(H346="Sim","Consulta Marcada",IF(A346="","","Novo Paciente")))))))))))</f>
        <v/>
      </c>
      <c r="S346" s="4"/>
      <c r="T346" s="10" t="str">
        <f aca="false">IF(A346="","",SUMPRODUCT(($R$2:R346=R346)*($A$2:A346&lt;&gt;"")))</f>
        <v/>
      </c>
      <c r="U346" s="10" t="str">
        <f aca="false">IF(A346="","",R346&amp;"|"&amp;T346)</f>
        <v/>
      </c>
      <c r="V346" s="10" t="str">
        <f aca="false">IF(G346="","",TEXT(G346,"mm/yyyy"))</f>
        <v/>
      </c>
      <c r="W346" s="10" t="str">
        <f aca="false">IF(P346="","",TEXT(P346,"mm/yyyy"))</f>
        <v/>
      </c>
      <c r="X346" s="10" t="str">
        <f aca="false">IF(A346="","",IF(OR(R346="Fechado (Total)",R346="Fechado (Parcial)"),"Fechado|"&amp;SUMPRODUCT((($R$2:R346="Fechado (Total)")+($R$2:R346="Fechado (Parcial)"))*($A$2:A346&lt;&gt;"")),""))</f>
        <v/>
      </c>
      <c r="Y346" s="10" t="str">
        <f aca="false">IF(A346="","",IF(D346="Indicação",SUMPRODUCT(($D$2:D346="Indicação")*($A$2:A346&lt;&gt;"")),""))</f>
        <v/>
      </c>
      <c r="Z346" s="10" t="str">
        <f aca="false">IF(Y346="","","Indicacao|"&amp;Y346)</f>
        <v/>
      </c>
      <c r="AA346" s="10" t="str">
        <f aca="false">IF(I346="","",TEXT(I346,"mm/yyyy"))</f>
        <v/>
      </c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8"/>
      <c r="H347" s="6"/>
      <c r="I347" s="8"/>
      <c r="J347" s="6"/>
      <c r="K347" s="6"/>
      <c r="L347" s="6"/>
      <c r="M347" s="7"/>
      <c r="N347" s="6"/>
      <c r="O347" s="7"/>
      <c r="P347" s="8"/>
      <c r="Q347" s="4"/>
      <c r="R347" s="9" t="str">
        <f aca="false">IF(N347="Sim","Fechado (Total)",IF(N347="Parcial","Fechado (Parcial)",IF(N347="Não","Perdido",IF(N347="Pendente","Pendente",IF(N347="Não precisa no momento","Não Precisa no Momento",IF(L347="Sim","Plano de Tratamento",IF(J347="Não","Não Compareceu",IF(J347="Sim","Compareceu",IF(H347="Não","Perdido",IF(H347="Sim","Consulta Marcada",IF(A347="","","Novo Paciente")))))))))))</f>
        <v/>
      </c>
      <c r="S347" s="4"/>
      <c r="T347" s="10" t="str">
        <f aca="false">IF(A347="","",SUMPRODUCT(($R$2:R347=R347)*($A$2:A347&lt;&gt;"")))</f>
        <v/>
      </c>
      <c r="U347" s="10" t="str">
        <f aca="false">IF(A347="","",R347&amp;"|"&amp;T347)</f>
        <v/>
      </c>
      <c r="V347" s="10" t="str">
        <f aca="false">IF(G347="","",TEXT(G347,"mm/yyyy"))</f>
        <v/>
      </c>
      <c r="W347" s="10" t="str">
        <f aca="false">IF(P347="","",TEXT(P347,"mm/yyyy"))</f>
        <v/>
      </c>
      <c r="X347" s="10" t="str">
        <f aca="false">IF(A347="","",IF(OR(R347="Fechado (Total)",R347="Fechado (Parcial)"),"Fechado|"&amp;SUMPRODUCT((($R$2:R347="Fechado (Total)")+($R$2:R347="Fechado (Parcial)"))*($A$2:A347&lt;&gt;"")),""))</f>
        <v/>
      </c>
      <c r="Y347" s="10" t="str">
        <f aca="false">IF(A347="","",IF(D347="Indicação",SUMPRODUCT(($D$2:D347="Indicação")*($A$2:A347&lt;&gt;"")),""))</f>
        <v/>
      </c>
      <c r="Z347" s="10" t="str">
        <f aca="false">IF(Y347="","","Indicacao|"&amp;Y347)</f>
        <v/>
      </c>
      <c r="AA347" s="10" t="str">
        <f aca="false">IF(I347="","",TEXT(I347,"mm/yyyy"))</f>
        <v/>
      </c>
    </row>
    <row r="348" customFormat="false" ht="15" hidden="false" customHeight="true" outlineLevel="0" collapsed="false">
      <c r="A348" s="4"/>
      <c r="B348" s="4"/>
      <c r="C348" s="4"/>
      <c r="D348" s="4"/>
      <c r="E348" s="4"/>
      <c r="F348" s="4"/>
      <c r="G348" s="8"/>
      <c r="H348" s="6"/>
      <c r="I348" s="8"/>
      <c r="J348" s="6"/>
      <c r="K348" s="6"/>
      <c r="L348" s="6"/>
      <c r="M348" s="7"/>
      <c r="N348" s="6"/>
      <c r="O348" s="7"/>
      <c r="P348" s="8"/>
      <c r="Q348" s="4"/>
      <c r="R348" s="9" t="str">
        <f aca="false">IF(N348="Sim","Fechado (Total)",IF(N348="Parcial","Fechado (Parcial)",IF(N348="Não","Perdido",IF(N348="Pendente","Pendente",IF(N348="Não precisa no momento","Não Precisa no Momento",IF(L348="Sim","Plano de Tratamento",IF(J348="Não","Não Compareceu",IF(J348="Sim","Compareceu",IF(H348="Não","Perdido",IF(H348="Sim","Consulta Marcada",IF(A348="","","Novo Paciente")))))))))))</f>
        <v/>
      </c>
      <c r="S348" s="4"/>
      <c r="T348" s="10" t="str">
        <f aca="false">IF(A348="","",SUMPRODUCT(($R$2:R348=R348)*($A$2:A348&lt;&gt;"")))</f>
        <v/>
      </c>
      <c r="U348" s="10" t="str">
        <f aca="false">IF(A348="","",R348&amp;"|"&amp;T348)</f>
        <v/>
      </c>
      <c r="V348" s="10" t="str">
        <f aca="false">IF(G348="","",TEXT(G348,"mm/yyyy"))</f>
        <v/>
      </c>
      <c r="W348" s="10" t="str">
        <f aca="false">IF(P348="","",TEXT(P348,"mm/yyyy"))</f>
        <v/>
      </c>
      <c r="X348" s="10" t="str">
        <f aca="false">IF(A348="","",IF(OR(R348="Fechado (Total)",R348="Fechado (Parcial)"),"Fechado|"&amp;SUMPRODUCT((($R$2:R348="Fechado (Total)")+($R$2:R348="Fechado (Parcial)"))*($A$2:A348&lt;&gt;"")),""))</f>
        <v/>
      </c>
      <c r="Y348" s="10" t="str">
        <f aca="false">IF(A348="","",IF(D348="Indicação",SUMPRODUCT(($D$2:D348="Indicação")*($A$2:A348&lt;&gt;"")),""))</f>
        <v/>
      </c>
      <c r="Z348" s="10" t="str">
        <f aca="false">IF(Y348="","","Indicacao|"&amp;Y348)</f>
        <v/>
      </c>
      <c r="AA348" s="10" t="str">
        <f aca="false">IF(I348="","",TEXT(I348,"mm/yyyy"))</f>
        <v/>
      </c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8"/>
      <c r="H349" s="6"/>
      <c r="I349" s="8"/>
      <c r="J349" s="6"/>
      <c r="K349" s="6"/>
      <c r="L349" s="6"/>
      <c r="M349" s="7"/>
      <c r="N349" s="6"/>
      <c r="O349" s="7"/>
      <c r="P349" s="8"/>
      <c r="Q349" s="4"/>
      <c r="R349" s="9" t="str">
        <f aca="false">IF(N349="Sim","Fechado (Total)",IF(N349="Parcial","Fechado (Parcial)",IF(N349="Não","Perdido",IF(N349="Pendente","Pendente",IF(N349="Não precisa no momento","Não Precisa no Momento",IF(L349="Sim","Plano de Tratamento",IF(J349="Não","Não Compareceu",IF(J349="Sim","Compareceu",IF(H349="Não","Perdido",IF(H349="Sim","Consulta Marcada",IF(A349="","","Novo Paciente")))))))))))</f>
        <v/>
      </c>
      <c r="S349" s="4"/>
      <c r="T349" s="10" t="str">
        <f aca="false">IF(A349="","",SUMPRODUCT(($R$2:R349=R349)*($A$2:A349&lt;&gt;"")))</f>
        <v/>
      </c>
      <c r="U349" s="10" t="str">
        <f aca="false">IF(A349="","",R349&amp;"|"&amp;T349)</f>
        <v/>
      </c>
      <c r="V349" s="10" t="str">
        <f aca="false">IF(G349="","",TEXT(G349,"mm/yyyy"))</f>
        <v/>
      </c>
      <c r="W349" s="10" t="str">
        <f aca="false">IF(P349="","",TEXT(P349,"mm/yyyy"))</f>
        <v/>
      </c>
      <c r="X349" s="10" t="str">
        <f aca="false">IF(A349="","",IF(OR(R349="Fechado (Total)",R349="Fechado (Parcial)"),"Fechado|"&amp;SUMPRODUCT((($R$2:R349="Fechado (Total)")+($R$2:R349="Fechado (Parcial)"))*($A$2:A349&lt;&gt;"")),""))</f>
        <v/>
      </c>
      <c r="Y349" s="10" t="str">
        <f aca="false">IF(A349="","",IF(D349="Indicação",SUMPRODUCT(($D$2:D349="Indicação")*($A$2:A349&lt;&gt;"")),""))</f>
        <v/>
      </c>
      <c r="Z349" s="10" t="str">
        <f aca="false">IF(Y349="","","Indicacao|"&amp;Y349)</f>
        <v/>
      </c>
      <c r="AA349" s="10" t="str">
        <f aca="false">IF(I349="","",TEXT(I349,"mm/yyyy"))</f>
        <v/>
      </c>
    </row>
    <row r="350" customFormat="false" ht="15" hidden="false" customHeight="true" outlineLevel="0" collapsed="false">
      <c r="A350" s="4"/>
      <c r="B350" s="4"/>
      <c r="C350" s="4"/>
      <c r="D350" s="4"/>
      <c r="E350" s="4"/>
      <c r="F350" s="4"/>
      <c r="G350" s="8"/>
      <c r="H350" s="6"/>
      <c r="I350" s="8"/>
      <c r="J350" s="6"/>
      <c r="K350" s="6"/>
      <c r="L350" s="6"/>
      <c r="M350" s="7"/>
      <c r="N350" s="6"/>
      <c r="O350" s="7"/>
      <c r="P350" s="8"/>
      <c r="Q350" s="4"/>
      <c r="R350" s="9" t="str">
        <f aca="false">IF(N350="Sim","Fechado (Total)",IF(N350="Parcial","Fechado (Parcial)",IF(N350="Não","Perdido",IF(N350="Pendente","Pendente",IF(N350="Não precisa no momento","Não Precisa no Momento",IF(L350="Sim","Plano de Tratamento",IF(J350="Não","Não Compareceu",IF(J350="Sim","Compareceu",IF(H350="Não","Perdido",IF(H350="Sim","Consulta Marcada",IF(A350="","","Novo Paciente")))))))))))</f>
        <v/>
      </c>
      <c r="S350" s="4"/>
      <c r="T350" s="10" t="str">
        <f aca="false">IF(A350="","",SUMPRODUCT(($R$2:R350=R350)*($A$2:A350&lt;&gt;"")))</f>
        <v/>
      </c>
      <c r="U350" s="10" t="str">
        <f aca="false">IF(A350="","",R350&amp;"|"&amp;T350)</f>
        <v/>
      </c>
      <c r="V350" s="10" t="str">
        <f aca="false">IF(G350="","",TEXT(G350,"mm/yyyy"))</f>
        <v/>
      </c>
      <c r="W350" s="10" t="str">
        <f aca="false">IF(P350="","",TEXT(P350,"mm/yyyy"))</f>
        <v/>
      </c>
      <c r="X350" s="10" t="str">
        <f aca="false">IF(A350="","",IF(OR(R350="Fechado (Total)",R350="Fechado (Parcial)"),"Fechado|"&amp;SUMPRODUCT((($R$2:R350="Fechado (Total)")+($R$2:R350="Fechado (Parcial)"))*($A$2:A350&lt;&gt;"")),""))</f>
        <v/>
      </c>
      <c r="Y350" s="10" t="str">
        <f aca="false">IF(A350="","",IF(D350="Indicação",SUMPRODUCT(($D$2:D350="Indicação")*($A$2:A350&lt;&gt;"")),""))</f>
        <v/>
      </c>
      <c r="Z350" s="10" t="str">
        <f aca="false">IF(Y350="","","Indicacao|"&amp;Y350)</f>
        <v/>
      </c>
      <c r="AA350" s="10" t="str">
        <f aca="false">IF(I350="","",TEXT(I350,"mm/yyyy"))</f>
        <v/>
      </c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8"/>
      <c r="H351" s="6"/>
      <c r="I351" s="8"/>
      <c r="J351" s="6"/>
      <c r="K351" s="6"/>
      <c r="L351" s="6"/>
      <c r="M351" s="7"/>
      <c r="N351" s="6"/>
      <c r="O351" s="7"/>
      <c r="P351" s="8"/>
      <c r="Q351" s="4"/>
      <c r="R351" s="9" t="str">
        <f aca="false">IF(N351="Sim","Fechado (Total)",IF(N351="Parcial","Fechado (Parcial)",IF(N351="Não","Perdido",IF(N351="Pendente","Pendente",IF(N351="Não precisa no momento","Não Precisa no Momento",IF(L351="Sim","Plano de Tratamento",IF(J351="Não","Não Compareceu",IF(J351="Sim","Compareceu",IF(H351="Não","Perdido",IF(H351="Sim","Consulta Marcada",IF(A351="","","Novo Paciente")))))))))))</f>
        <v/>
      </c>
      <c r="S351" s="4"/>
      <c r="T351" s="10" t="str">
        <f aca="false">IF(A351="","",SUMPRODUCT(($R$2:R351=R351)*($A$2:A351&lt;&gt;"")))</f>
        <v/>
      </c>
      <c r="U351" s="10" t="str">
        <f aca="false">IF(A351="","",R351&amp;"|"&amp;T351)</f>
        <v/>
      </c>
      <c r="V351" s="10" t="str">
        <f aca="false">IF(G351="","",TEXT(G351,"mm/yyyy"))</f>
        <v/>
      </c>
      <c r="W351" s="10" t="str">
        <f aca="false">IF(P351="","",TEXT(P351,"mm/yyyy"))</f>
        <v/>
      </c>
      <c r="X351" s="10" t="str">
        <f aca="false">IF(A351="","",IF(OR(R351="Fechado (Total)",R351="Fechado (Parcial)"),"Fechado|"&amp;SUMPRODUCT((($R$2:R351="Fechado (Total)")+($R$2:R351="Fechado (Parcial)"))*($A$2:A351&lt;&gt;"")),""))</f>
        <v/>
      </c>
      <c r="Y351" s="10" t="str">
        <f aca="false">IF(A351="","",IF(D351="Indicação",SUMPRODUCT(($D$2:D351="Indicação")*($A$2:A351&lt;&gt;"")),""))</f>
        <v/>
      </c>
      <c r="Z351" s="10" t="str">
        <f aca="false">IF(Y351="","","Indicacao|"&amp;Y351)</f>
        <v/>
      </c>
      <c r="AA351" s="10" t="str">
        <f aca="false">IF(I351="","",TEXT(I351,"mm/yyyy"))</f>
        <v/>
      </c>
    </row>
    <row r="352" customFormat="false" ht="15" hidden="false" customHeight="true" outlineLevel="0" collapsed="false">
      <c r="A352" s="4"/>
      <c r="B352" s="4"/>
      <c r="C352" s="4"/>
      <c r="D352" s="4"/>
      <c r="E352" s="4"/>
      <c r="F352" s="4"/>
      <c r="G352" s="8"/>
      <c r="H352" s="6"/>
      <c r="I352" s="8"/>
      <c r="J352" s="6"/>
      <c r="K352" s="6"/>
      <c r="L352" s="6"/>
      <c r="M352" s="7"/>
      <c r="N352" s="6"/>
      <c r="O352" s="7"/>
      <c r="P352" s="8"/>
      <c r="Q352" s="4"/>
      <c r="R352" s="9" t="str">
        <f aca="false">IF(N352="Sim","Fechado (Total)",IF(N352="Parcial","Fechado (Parcial)",IF(N352="Não","Perdido",IF(N352="Pendente","Pendente",IF(N352="Não precisa no momento","Não Precisa no Momento",IF(L352="Sim","Plano de Tratamento",IF(J352="Não","Não Compareceu",IF(J352="Sim","Compareceu",IF(H352="Não","Perdido",IF(H352="Sim","Consulta Marcada",IF(A352="","","Novo Paciente")))))))))))</f>
        <v/>
      </c>
      <c r="S352" s="4"/>
      <c r="T352" s="10" t="str">
        <f aca="false">IF(A352="","",SUMPRODUCT(($R$2:R352=R352)*($A$2:A352&lt;&gt;"")))</f>
        <v/>
      </c>
      <c r="U352" s="10" t="str">
        <f aca="false">IF(A352="","",R352&amp;"|"&amp;T352)</f>
        <v/>
      </c>
      <c r="V352" s="10" t="str">
        <f aca="false">IF(G352="","",TEXT(G352,"mm/yyyy"))</f>
        <v/>
      </c>
      <c r="W352" s="10" t="str">
        <f aca="false">IF(P352="","",TEXT(P352,"mm/yyyy"))</f>
        <v/>
      </c>
      <c r="X352" s="10" t="str">
        <f aca="false">IF(A352="","",IF(OR(R352="Fechado (Total)",R352="Fechado (Parcial)"),"Fechado|"&amp;SUMPRODUCT((($R$2:R352="Fechado (Total)")+($R$2:R352="Fechado (Parcial)"))*($A$2:A352&lt;&gt;"")),""))</f>
        <v/>
      </c>
      <c r="Y352" s="10" t="str">
        <f aca="false">IF(A352="","",IF(D352="Indicação",SUMPRODUCT(($D$2:D352="Indicação")*($A$2:A352&lt;&gt;"")),""))</f>
        <v/>
      </c>
      <c r="Z352" s="10" t="str">
        <f aca="false">IF(Y352="","","Indicacao|"&amp;Y352)</f>
        <v/>
      </c>
      <c r="AA352" s="10" t="str">
        <f aca="false">IF(I352="","",TEXT(I352,"mm/yyyy"))</f>
        <v/>
      </c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8"/>
      <c r="H353" s="6"/>
      <c r="I353" s="8"/>
      <c r="J353" s="6"/>
      <c r="K353" s="6"/>
      <c r="L353" s="6"/>
      <c r="M353" s="7"/>
      <c r="N353" s="6"/>
      <c r="O353" s="7"/>
      <c r="P353" s="8"/>
      <c r="Q353" s="4"/>
      <c r="R353" s="9" t="str">
        <f aca="false">IF(N353="Sim","Fechado (Total)",IF(N353="Parcial","Fechado (Parcial)",IF(N353="Não","Perdido",IF(N353="Pendente","Pendente",IF(N353="Não precisa no momento","Não Precisa no Momento",IF(L353="Sim","Plano de Tratamento",IF(J353="Não","Não Compareceu",IF(J353="Sim","Compareceu",IF(H353="Não","Perdido",IF(H353="Sim","Consulta Marcada",IF(A353="","","Novo Paciente")))))))))))</f>
        <v/>
      </c>
      <c r="S353" s="4"/>
      <c r="T353" s="10" t="str">
        <f aca="false">IF(A353="","",SUMPRODUCT(($R$2:R353=R353)*($A$2:A353&lt;&gt;"")))</f>
        <v/>
      </c>
      <c r="U353" s="10" t="str">
        <f aca="false">IF(A353="","",R353&amp;"|"&amp;T353)</f>
        <v/>
      </c>
      <c r="V353" s="10" t="str">
        <f aca="false">IF(G353="","",TEXT(G353,"mm/yyyy"))</f>
        <v/>
      </c>
      <c r="W353" s="10" t="str">
        <f aca="false">IF(P353="","",TEXT(P353,"mm/yyyy"))</f>
        <v/>
      </c>
      <c r="X353" s="10" t="str">
        <f aca="false">IF(A353="","",IF(OR(R353="Fechado (Total)",R353="Fechado (Parcial)"),"Fechado|"&amp;SUMPRODUCT((($R$2:R353="Fechado (Total)")+($R$2:R353="Fechado (Parcial)"))*($A$2:A353&lt;&gt;"")),""))</f>
        <v/>
      </c>
      <c r="Y353" s="10" t="str">
        <f aca="false">IF(A353="","",IF(D353="Indicação",SUMPRODUCT(($D$2:D353="Indicação")*($A$2:A353&lt;&gt;"")),""))</f>
        <v/>
      </c>
      <c r="Z353" s="10" t="str">
        <f aca="false">IF(Y353="","","Indicacao|"&amp;Y353)</f>
        <v/>
      </c>
      <c r="AA353" s="10" t="str">
        <f aca="false">IF(I353="","",TEXT(I353,"mm/yyyy"))</f>
        <v/>
      </c>
    </row>
    <row r="354" customFormat="false" ht="15" hidden="false" customHeight="true" outlineLevel="0" collapsed="false">
      <c r="A354" s="4"/>
      <c r="B354" s="4"/>
      <c r="C354" s="4"/>
      <c r="D354" s="4"/>
      <c r="E354" s="4"/>
      <c r="F354" s="4"/>
      <c r="G354" s="8"/>
      <c r="H354" s="6"/>
      <c r="I354" s="8"/>
      <c r="J354" s="6"/>
      <c r="K354" s="6"/>
      <c r="L354" s="6"/>
      <c r="M354" s="7"/>
      <c r="N354" s="6"/>
      <c r="O354" s="7"/>
      <c r="P354" s="8"/>
      <c r="Q354" s="4"/>
      <c r="R354" s="9" t="str">
        <f aca="false">IF(N354="Sim","Fechado (Total)",IF(N354="Parcial","Fechado (Parcial)",IF(N354="Não","Perdido",IF(N354="Pendente","Pendente",IF(N354="Não precisa no momento","Não Precisa no Momento",IF(L354="Sim","Plano de Tratamento",IF(J354="Não","Não Compareceu",IF(J354="Sim","Compareceu",IF(H354="Não","Perdido",IF(H354="Sim","Consulta Marcada",IF(A354="","","Novo Paciente")))))))))))</f>
        <v/>
      </c>
      <c r="S354" s="4"/>
      <c r="T354" s="10" t="str">
        <f aca="false">IF(A354="","",SUMPRODUCT(($R$2:R354=R354)*($A$2:A354&lt;&gt;"")))</f>
        <v/>
      </c>
      <c r="U354" s="10" t="str">
        <f aca="false">IF(A354="","",R354&amp;"|"&amp;T354)</f>
        <v/>
      </c>
      <c r="V354" s="10" t="str">
        <f aca="false">IF(G354="","",TEXT(G354,"mm/yyyy"))</f>
        <v/>
      </c>
      <c r="W354" s="10" t="str">
        <f aca="false">IF(P354="","",TEXT(P354,"mm/yyyy"))</f>
        <v/>
      </c>
      <c r="X354" s="10" t="str">
        <f aca="false">IF(A354="","",IF(OR(R354="Fechado (Total)",R354="Fechado (Parcial)"),"Fechado|"&amp;SUMPRODUCT((($R$2:R354="Fechado (Total)")+($R$2:R354="Fechado (Parcial)"))*($A$2:A354&lt;&gt;"")),""))</f>
        <v/>
      </c>
      <c r="Y354" s="10" t="str">
        <f aca="false">IF(A354="","",IF(D354="Indicação",SUMPRODUCT(($D$2:D354="Indicação")*($A$2:A354&lt;&gt;"")),""))</f>
        <v/>
      </c>
      <c r="Z354" s="10" t="str">
        <f aca="false">IF(Y354="","","Indicacao|"&amp;Y354)</f>
        <v/>
      </c>
      <c r="AA354" s="10" t="str">
        <f aca="false">IF(I354="","",TEXT(I354,"mm/yyyy"))</f>
        <v/>
      </c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8"/>
      <c r="H355" s="6"/>
      <c r="I355" s="8"/>
      <c r="J355" s="6"/>
      <c r="K355" s="6"/>
      <c r="L355" s="6"/>
      <c r="M355" s="7"/>
      <c r="N355" s="6"/>
      <c r="O355" s="7"/>
      <c r="P355" s="8"/>
      <c r="Q355" s="4"/>
      <c r="R355" s="9" t="str">
        <f aca="false">IF(N355="Sim","Fechado (Total)",IF(N355="Parcial","Fechado (Parcial)",IF(N355="Não","Perdido",IF(N355="Pendente","Pendente",IF(N355="Não precisa no momento","Não Precisa no Momento",IF(L355="Sim","Plano de Tratamento",IF(J355="Não","Não Compareceu",IF(J355="Sim","Compareceu",IF(H355="Não","Perdido",IF(H355="Sim","Consulta Marcada",IF(A355="","","Novo Paciente")))))))))))</f>
        <v/>
      </c>
      <c r="S355" s="4"/>
      <c r="T355" s="10" t="str">
        <f aca="false">IF(A355="","",SUMPRODUCT(($R$2:R355=R355)*($A$2:A355&lt;&gt;"")))</f>
        <v/>
      </c>
      <c r="U355" s="10" t="str">
        <f aca="false">IF(A355="","",R355&amp;"|"&amp;T355)</f>
        <v/>
      </c>
      <c r="V355" s="10" t="str">
        <f aca="false">IF(G355="","",TEXT(G355,"mm/yyyy"))</f>
        <v/>
      </c>
      <c r="W355" s="10" t="str">
        <f aca="false">IF(P355="","",TEXT(P355,"mm/yyyy"))</f>
        <v/>
      </c>
      <c r="X355" s="10" t="str">
        <f aca="false">IF(A355="","",IF(OR(R355="Fechado (Total)",R355="Fechado (Parcial)"),"Fechado|"&amp;SUMPRODUCT((($R$2:R355="Fechado (Total)")+($R$2:R355="Fechado (Parcial)"))*($A$2:A355&lt;&gt;"")),""))</f>
        <v/>
      </c>
      <c r="Y355" s="10" t="str">
        <f aca="false">IF(A355="","",IF(D355="Indicação",SUMPRODUCT(($D$2:D355="Indicação")*($A$2:A355&lt;&gt;"")),""))</f>
        <v/>
      </c>
      <c r="Z355" s="10" t="str">
        <f aca="false">IF(Y355="","","Indicacao|"&amp;Y355)</f>
        <v/>
      </c>
      <c r="AA355" s="10" t="str">
        <f aca="false">IF(I355="","",TEXT(I355,"mm/yyyy"))</f>
        <v/>
      </c>
    </row>
    <row r="356" customFormat="false" ht="15" hidden="false" customHeight="true" outlineLevel="0" collapsed="false">
      <c r="A356" s="4"/>
      <c r="B356" s="4"/>
      <c r="C356" s="4"/>
      <c r="D356" s="4"/>
      <c r="E356" s="4"/>
      <c r="F356" s="4"/>
      <c r="G356" s="8"/>
      <c r="H356" s="6"/>
      <c r="I356" s="8"/>
      <c r="J356" s="6"/>
      <c r="K356" s="6"/>
      <c r="L356" s="6"/>
      <c r="M356" s="7"/>
      <c r="N356" s="6"/>
      <c r="O356" s="7"/>
      <c r="P356" s="8"/>
      <c r="Q356" s="4"/>
      <c r="R356" s="9" t="str">
        <f aca="false">IF(N356="Sim","Fechado (Total)",IF(N356="Parcial","Fechado (Parcial)",IF(N356="Não","Perdido",IF(N356="Pendente","Pendente",IF(N356="Não precisa no momento","Não Precisa no Momento",IF(L356="Sim","Plano de Tratamento",IF(J356="Não","Não Compareceu",IF(J356="Sim","Compareceu",IF(H356="Não","Perdido",IF(H356="Sim","Consulta Marcada",IF(A356="","","Novo Paciente")))))))))))</f>
        <v/>
      </c>
      <c r="S356" s="4"/>
      <c r="T356" s="10" t="str">
        <f aca="false">IF(A356="","",SUMPRODUCT(($R$2:R356=R356)*($A$2:A356&lt;&gt;"")))</f>
        <v/>
      </c>
      <c r="U356" s="10" t="str">
        <f aca="false">IF(A356="","",R356&amp;"|"&amp;T356)</f>
        <v/>
      </c>
      <c r="V356" s="10" t="str">
        <f aca="false">IF(G356="","",TEXT(G356,"mm/yyyy"))</f>
        <v/>
      </c>
      <c r="W356" s="10" t="str">
        <f aca="false">IF(P356="","",TEXT(P356,"mm/yyyy"))</f>
        <v/>
      </c>
      <c r="X356" s="10" t="str">
        <f aca="false">IF(A356="","",IF(OR(R356="Fechado (Total)",R356="Fechado (Parcial)"),"Fechado|"&amp;SUMPRODUCT((($R$2:R356="Fechado (Total)")+($R$2:R356="Fechado (Parcial)"))*($A$2:A356&lt;&gt;"")),""))</f>
        <v/>
      </c>
      <c r="Y356" s="10" t="str">
        <f aca="false">IF(A356="","",IF(D356="Indicação",SUMPRODUCT(($D$2:D356="Indicação")*($A$2:A356&lt;&gt;"")),""))</f>
        <v/>
      </c>
      <c r="Z356" s="10" t="str">
        <f aca="false">IF(Y356="","","Indicacao|"&amp;Y356)</f>
        <v/>
      </c>
      <c r="AA356" s="10" t="str">
        <f aca="false">IF(I356="","",TEXT(I356,"mm/yyyy"))</f>
        <v/>
      </c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8"/>
      <c r="H357" s="6"/>
      <c r="I357" s="8"/>
      <c r="J357" s="6"/>
      <c r="K357" s="6"/>
      <c r="L357" s="6"/>
      <c r="M357" s="7"/>
      <c r="N357" s="6"/>
      <c r="O357" s="7"/>
      <c r="P357" s="8"/>
      <c r="Q357" s="4"/>
      <c r="R357" s="9" t="str">
        <f aca="false">IF(N357="Sim","Fechado (Total)",IF(N357="Parcial","Fechado (Parcial)",IF(N357="Não","Perdido",IF(N357="Pendente","Pendente",IF(N357="Não precisa no momento","Não Precisa no Momento",IF(L357="Sim","Plano de Tratamento",IF(J357="Não","Não Compareceu",IF(J357="Sim","Compareceu",IF(H357="Não","Perdido",IF(H357="Sim","Consulta Marcada",IF(A357="","","Novo Paciente")))))))))))</f>
        <v/>
      </c>
      <c r="S357" s="4"/>
      <c r="T357" s="10" t="str">
        <f aca="false">IF(A357="","",SUMPRODUCT(($R$2:R357=R357)*($A$2:A357&lt;&gt;"")))</f>
        <v/>
      </c>
      <c r="U357" s="10" t="str">
        <f aca="false">IF(A357="","",R357&amp;"|"&amp;T357)</f>
        <v/>
      </c>
      <c r="V357" s="10" t="str">
        <f aca="false">IF(G357="","",TEXT(G357,"mm/yyyy"))</f>
        <v/>
      </c>
      <c r="W357" s="10" t="str">
        <f aca="false">IF(P357="","",TEXT(P357,"mm/yyyy"))</f>
        <v/>
      </c>
      <c r="X357" s="10" t="str">
        <f aca="false">IF(A357="","",IF(OR(R357="Fechado (Total)",R357="Fechado (Parcial)"),"Fechado|"&amp;SUMPRODUCT((($R$2:R357="Fechado (Total)")+($R$2:R357="Fechado (Parcial)"))*($A$2:A357&lt;&gt;"")),""))</f>
        <v/>
      </c>
      <c r="Y357" s="10" t="str">
        <f aca="false">IF(A357="","",IF(D357="Indicação",SUMPRODUCT(($D$2:D357="Indicação")*($A$2:A357&lt;&gt;"")),""))</f>
        <v/>
      </c>
      <c r="Z357" s="10" t="str">
        <f aca="false">IF(Y357="","","Indicacao|"&amp;Y357)</f>
        <v/>
      </c>
      <c r="AA357" s="10" t="str">
        <f aca="false">IF(I357="","",TEXT(I357,"mm/yyyy"))</f>
        <v/>
      </c>
    </row>
    <row r="358" customFormat="false" ht="15" hidden="false" customHeight="true" outlineLevel="0" collapsed="false">
      <c r="A358" s="4"/>
      <c r="B358" s="4"/>
      <c r="C358" s="4"/>
      <c r="D358" s="4"/>
      <c r="E358" s="4"/>
      <c r="F358" s="4"/>
      <c r="G358" s="8"/>
      <c r="H358" s="6"/>
      <c r="I358" s="8"/>
      <c r="J358" s="6"/>
      <c r="K358" s="6"/>
      <c r="L358" s="6"/>
      <c r="M358" s="7"/>
      <c r="N358" s="6"/>
      <c r="O358" s="7"/>
      <c r="P358" s="8"/>
      <c r="Q358" s="4"/>
      <c r="R358" s="9" t="str">
        <f aca="false">IF(N358="Sim","Fechado (Total)",IF(N358="Parcial","Fechado (Parcial)",IF(N358="Não","Perdido",IF(N358="Pendente","Pendente",IF(N358="Não precisa no momento","Não Precisa no Momento",IF(L358="Sim","Plano de Tratamento",IF(J358="Não","Não Compareceu",IF(J358="Sim","Compareceu",IF(H358="Não","Perdido",IF(H358="Sim","Consulta Marcada",IF(A358="","","Novo Paciente")))))))))))</f>
        <v/>
      </c>
      <c r="S358" s="4"/>
      <c r="T358" s="10" t="str">
        <f aca="false">IF(A358="","",SUMPRODUCT(($R$2:R358=R358)*($A$2:A358&lt;&gt;"")))</f>
        <v/>
      </c>
      <c r="U358" s="10" t="str">
        <f aca="false">IF(A358="","",R358&amp;"|"&amp;T358)</f>
        <v/>
      </c>
      <c r="V358" s="10" t="str">
        <f aca="false">IF(G358="","",TEXT(G358,"mm/yyyy"))</f>
        <v/>
      </c>
      <c r="W358" s="10" t="str">
        <f aca="false">IF(P358="","",TEXT(P358,"mm/yyyy"))</f>
        <v/>
      </c>
      <c r="X358" s="10" t="str">
        <f aca="false">IF(A358="","",IF(OR(R358="Fechado (Total)",R358="Fechado (Parcial)"),"Fechado|"&amp;SUMPRODUCT((($R$2:R358="Fechado (Total)")+($R$2:R358="Fechado (Parcial)"))*($A$2:A358&lt;&gt;"")),""))</f>
        <v/>
      </c>
      <c r="Y358" s="10" t="str">
        <f aca="false">IF(A358="","",IF(D358="Indicação",SUMPRODUCT(($D$2:D358="Indicação")*($A$2:A358&lt;&gt;"")),""))</f>
        <v/>
      </c>
      <c r="Z358" s="10" t="str">
        <f aca="false">IF(Y358="","","Indicacao|"&amp;Y358)</f>
        <v/>
      </c>
      <c r="AA358" s="10" t="str">
        <f aca="false">IF(I358="","",TEXT(I358,"mm/yyyy"))</f>
        <v/>
      </c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8"/>
      <c r="H359" s="6"/>
      <c r="I359" s="8"/>
      <c r="J359" s="6"/>
      <c r="K359" s="6"/>
      <c r="L359" s="6"/>
      <c r="M359" s="7"/>
      <c r="N359" s="6"/>
      <c r="O359" s="7"/>
      <c r="P359" s="8"/>
      <c r="Q359" s="4"/>
      <c r="R359" s="9" t="str">
        <f aca="false">IF(N359="Sim","Fechado (Total)",IF(N359="Parcial","Fechado (Parcial)",IF(N359="Não","Perdido",IF(N359="Pendente","Pendente",IF(N359="Não precisa no momento","Não Precisa no Momento",IF(L359="Sim","Plano de Tratamento",IF(J359="Não","Não Compareceu",IF(J359="Sim","Compareceu",IF(H359="Não","Perdido",IF(H359="Sim","Consulta Marcada",IF(A359="","","Novo Paciente")))))))))))</f>
        <v/>
      </c>
      <c r="S359" s="4"/>
      <c r="T359" s="10" t="str">
        <f aca="false">IF(A359="","",SUMPRODUCT(($R$2:R359=R359)*($A$2:A359&lt;&gt;"")))</f>
        <v/>
      </c>
      <c r="U359" s="10" t="str">
        <f aca="false">IF(A359="","",R359&amp;"|"&amp;T359)</f>
        <v/>
      </c>
      <c r="V359" s="10" t="str">
        <f aca="false">IF(G359="","",TEXT(G359,"mm/yyyy"))</f>
        <v/>
      </c>
      <c r="W359" s="10" t="str">
        <f aca="false">IF(P359="","",TEXT(P359,"mm/yyyy"))</f>
        <v/>
      </c>
      <c r="X359" s="10" t="str">
        <f aca="false">IF(A359="","",IF(OR(R359="Fechado (Total)",R359="Fechado (Parcial)"),"Fechado|"&amp;SUMPRODUCT((($R$2:R359="Fechado (Total)")+($R$2:R359="Fechado (Parcial)"))*($A$2:A359&lt;&gt;"")),""))</f>
        <v/>
      </c>
      <c r="Y359" s="10" t="str">
        <f aca="false">IF(A359="","",IF(D359="Indicação",SUMPRODUCT(($D$2:D359="Indicação")*($A$2:A359&lt;&gt;"")),""))</f>
        <v/>
      </c>
      <c r="Z359" s="10" t="str">
        <f aca="false">IF(Y359="","","Indicacao|"&amp;Y359)</f>
        <v/>
      </c>
      <c r="AA359" s="10" t="str">
        <f aca="false">IF(I359="","",TEXT(I359,"mm/yyyy"))</f>
        <v/>
      </c>
    </row>
    <row r="360" customFormat="false" ht="15" hidden="false" customHeight="true" outlineLevel="0" collapsed="false">
      <c r="A360" s="4"/>
      <c r="B360" s="4"/>
      <c r="C360" s="4"/>
      <c r="D360" s="4"/>
      <c r="E360" s="4"/>
      <c r="F360" s="4"/>
      <c r="G360" s="8"/>
      <c r="H360" s="6"/>
      <c r="I360" s="8"/>
      <c r="J360" s="6"/>
      <c r="K360" s="6"/>
      <c r="L360" s="6"/>
      <c r="M360" s="7"/>
      <c r="N360" s="6"/>
      <c r="O360" s="7"/>
      <c r="P360" s="8"/>
      <c r="Q360" s="4"/>
      <c r="R360" s="9" t="str">
        <f aca="false">IF(N360="Sim","Fechado (Total)",IF(N360="Parcial","Fechado (Parcial)",IF(N360="Não","Perdido",IF(N360="Pendente","Pendente",IF(N360="Não precisa no momento","Não Precisa no Momento",IF(L360="Sim","Plano de Tratamento",IF(J360="Não","Não Compareceu",IF(J360="Sim","Compareceu",IF(H360="Não","Perdido",IF(H360="Sim","Consulta Marcada",IF(A360="","","Novo Paciente")))))))))))</f>
        <v/>
      </c>
      <c r="S360" s="4"/>
      <c r="T360" s="10" t="str">
        <f aca="false">IF(A360="","",SUMPRODUCT(($R$2:R360=R360)*($A$2:A360&lt;&gt;"")))</f>
        <v/>
      </c>
      <c r="U360" s="10" t="str">
        <f aca="false">IF(A360="","",R360&amp;"|"&amp;T360)</f>
        <v/>
      </c>
      <c r="V360" s="10" t="str">
        <f aca="false">IF(G360="","",TEXT(G360,"mm/yyyy"))</f>
        <v/>
      </c>
      <c r="W360" s="10" t="str">
        <f aca="false">IF(P360="","",TEXT(P360,"mm/yyyy"))</f>
        <v/>
      </c>
      <c r="X360" s="10" t="str">
        <f aca="false">IF(A360="","",IF(OR(R360="Fechado (Total)",R360="Fechado (Parcial)"),"Fechado|"&amp;SUMPRODUCT((($R$2:R360="Fechado (Total)")+($R$2:R360="Fechado (Parcial)"))*($A$2:A360&lt;&gt;"")),""))</f>
        <v/>
      </c>
      <c r="Y360" s="10" t="str">
        <f aca="false">IF(A360="","",IF(D360="Indicação",SUMPRODUCT(($D$2:D360="Indicação")*($A$2:A360&lt;&gt;"")),""))</f>
        <v/>
      </c>
      <c r="Z360" s="10" t="str">
        <f aca="false">IF(Y360="","","Indicacao|"&amp;Y360)</f>
        <v/>
      </c>
      <c r="AA360" s="10" t="str">
        <f aca="false">IF(I360="","",TEXT(I360,"mm/yyyy"))</f>
        <v/>
      </c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8"/>
      <c r="H361" s="6"/>
      <c r="I361" s="8"/>
      <c r="J361" s="6"/>
      <c r="K361" s="6"/>
      <c r="L361" s="6"/>
      <c r="M361" s="7"/>
      <c r="N361" s="6"/>
      <c r="O361" s="7"/>
      <c r="P361" s="8"/>
      <c r="Q361" s="4"/>
      <c r="R361" s="9" t="str">
        <f aca="false">IF(N361="Sim","Fechado (Total)",IF(N361="Parcial","Fechado (Parcial)",IF(N361="Não","Perdido",IF(N361="Pendente","Pendente",IF(N361="Não precisa no momento","Não Precisa no Momento",IF(L361="Sim","Plano de Tratamento",IF(J361="Não","Não Compareceu",IF(J361="Sim","Compareceu",IF(H361="Não","Perdido",IF(H361="Sim","Consulta Marcada",IF(A361="","","Novo Paciente")))))))))))</f>
        <v/>
      </c>
      <c r="S361" s="4"/>
      <c r="T361" s="10" t="str">
        <f aca="false">IF(A361="","",SUMPRODUCT(($R$2:R361=R361)*($A$2:A361&lt;&gt;"")))</f>
        <v/>
      </c>
      <c r="U361" s="10" t="str">
        <f aca="false">IF(A361="","",R361&amp;"|"&amp;T361)</f>
        <v/>
      </c>
      <c r="V361" s="10" t="str">
        <f aca="false">IF(G361="","",TEXT(G361,"mm/yyyy"))</f>
        <v/>
      </c>
      <c r="W361" s="10" t="str">
        <f aca="false">IF(P361="","",TEXT(P361,"mm/yyyy"))</f>
        <v/>
      </c>
      <c r="X361" s="10" t="str">
        <f aca="false">IF(A361="","",IF(OR(R361="Fechado (Total)",R361="Fechado (Parcial)"),"Fechado|"&amp;SUMPRODUCT((($R$2:R361="Fechado (Total)")+($R$2:R361="Fechado (Parcial)"))*($A$2:A361&lt;&gt;"")),""))</f>
        <v/>
      </c>
      <c r="Y361" s="10" t="str">
        <f aca="false">IF(A361="","",IF(D361="Indicação",SUMPRODUCT(($D$2:D361="Indicação")*($A$2:A361&lt;&gt;"")),""))</f>
        <v/>
      </c>
      <c r="Z361" s="10" t="str">
        <f aca="false">IF(Y361="","","Indicacao|"&amp;Y361)</f>
        <v/>
      </c>
      <c r="AA361" s="10" t="str">
        <f aca="false">IF(I361="","",TEXT(I361,"mm/yyyy"))</f>
        <v/>
      </c>
    </row>
    <row r="362" customFormat="false" ht="15" hidden="false" customHeight="true" outlineLevel="0" collapsed="false">
      <c r="A362" s="4"/>
      <c r="B362" s="4"/>
      <c r="C362" s="4"/>
      <c r="D362" s="4"/>
      <c r="E362" s="4"/>
      <c r="F362" s="4"/>
      <c r="G362" s="8"/>
      <c r="H362" s="6"/>
      <c r="I362" s="8"/>
      <c r="J362" s="6"/>
      <c r="K362" s="6"/>
      <c r="L362" s="6"/>
      <c r="M362" s="7"/>
      <c r="N362" s="6"/>
      <c r="O362" s="7"/>
      <c r="P362" s="8"/>
      <c r="Q362" s="4"/>
      <c r="R362" s="9" t="str">
        <f aca="false">IF(N362="Sim","Fechado (Total)",IF(N362="Parcial","Fechado (Parcial)",IF(N362="Não","Perdido",IF(N362="Pendente","Pendente",IF(N362="Não precisa no momento","Não Precisa no Momento",IF(L362="Sim","Plano de Tratamento",IF(J362="Não","Não Compareceu",IF(J362="Sim","Compareceu",IF(H362="Não","Perdido",IF(H362="Sim","Consulta Marcada",IF(A362="","","Novo Paciente")))))))))))</f>
        <v/>
      </c>
      <c r="S362" s="4"/>
      <c r="T362" s="10" t="str">
        <f aca="false">IF(A362="","",SUMPRODUCT(($R$2:R362=R362)*($A$2:A362&lt;&gt;"")))</f>
        <v/>
      </c>
      <c r="U362" s="10" t="str">
        <f aca="false">IF(A362="","",R362&amp;"|"&amp;T362)</f>
        <v/>
      </c>
      <c r="V362" s="10" t="str">
        <f aca="false">IF(G362="","",TEXT(G362,"mm/yyyy"))</f>
        <v/>
      </c>
      <c r="W362" s="10" t="str">
        <f aca="false">IF(P362="","",TEXT(P362,"mm/yyyy"))</f>
        <v/>
      </c>
      <c r="X362" s="10" t="str">
        <f aca="false">IF(A362="","",IF(OR(R362="Fechado (Total)",R362="Fechado (Parcial)"),"Fechado|"&amp;SUMPRODUCT((($R$2:R362="Fechado (Total)")+($R$2:R362="Fechado (Parcial)"))*($A$2:A362&lt;&gt;"")),""))</f>
        <v/>
      </c>
      <c r="Y362" s="10" t="str">
        <f aca="false">IF(A362="","",IF(D362="Indicação",SUMPRODUCT(($D$2:D362="Indicação")*($A$2:A362&lt;&gt;"")),""))</f>
        <v/>
      </c>
      <c r="Z362" s="10" t="str">
        <f aca="false">IF(Y362="","","Indicacao|"&amp;Y362)</f>
        <v/>
      </c>
      <c r="AA362" s="10" t="str">
        <f aca="false">IF(I362="","",TEXT(I362,"mm/yyyy"))</f>
        <v/>
      </c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8"/>
      <c r="H363" s="6"/>
      <c r="I363" s="8"/>
      <c r="J363" s="6"/>
      <c r="K363" s="6"/>
      <c r="L363" s="6"/>
      <c r="M363" s="7"/>
      <c r="N363" s="6"/>
      <c r="O363" s="7"/>
      <c r="P363" s="8"/>
      <c r="Q363" s="4"/>
      <c r="R363" s="9" t="str">
        <f aca="false">IF(N363="Sim","Fechado (Total)",IF(N363="Parcial","Fechado (Parcial)",IF(N363="Não","Perdido",IF(N363="Pendente","Pendente",IF(N363="Não precisa no momento","Não Precisa no Momento",IF(L363="Sim","Plano de Tratamento",IF(J363="Não","Não Compareceu",IF(J363="Sim","Compareceu",IF(H363="Não","Perdido",IF(H363="Sim","Consulta Marcada",IF(A363="","","Novo Paciente")))))))))))</f>
        <v/>
      </c>
      <c r="S363" s="4"/>
      <c r="T363" s="10" t="str">
        <f aca="false">IF(A363="","",SUMPRODUCT(($R$2:R363=R363)*($A$2:A363&lt;&gt;"")))</f>
        <v/>
      </c>
      <c r="U363" s="10" t="str">
        <f aca="false">IF(A363="","",R363&amp;"|"&amp;T363)</f>
        <v/>
      </c>
      <c r="V363" s="10" t="str">
        <f aca="false">IF(G363="","",TEXT(G363,"mm/yyyy"))</f>
        <v/>
      </c>
      <c r="W363" s="10" t="str">
        <f aca="false">IF(P363="","",TEXT(P363,"mm/yyyy"))</f>
        <v/>
      </c>
      <c r="X363" s="10" t="str">
        <f aca="false">IF(A363="","",IF(OR(R363="Fechado (Total)",R363="Fechado (Parcial)"),"Fechado|"&amp;SUMPRODUCT((($R$2:R363="Fechado (Total)")+($R$2:R363="Fechado (Parcial)"))*($A$2:A363&lt;&gt;"")),""))</f>
        <v/>
      </c>
      <c r="Y363" s="10" t="str">
        <f aca="false">IF(A363="","",IF(D363="Indicação",SUMPRODUCT(($D$2:D363="Indicação")*($A$2:A363&lt;&gt;"")),""))</f>
        <v/>
      </c>
      <c r="Z363" s="10" t="str">
        <f aca="false">IF(Y363="","","Indicacao|"&amp;Y363)</f>
        <v/>
      </c>
      <c r="AA363" s="10" t="str">
        <f aca="false">IF(I363="","",TEXT(I363,"mm/yyyy"))</f>
        <v/>
      </c>
    </row>
    <row r="364" customFormat="false" ht="15" hidden="false" customHeight="true" outlineLevel="0" collapsed="false">
      <c r="A364" s="4"/>
      <c r="B364" s="4"/>
      <c r="C364" s="4"/>
      <c r="D364" s="4"/>
      <c r="E364" s="4"/>
      <c r="F364" s="4"/>
      <c r="G364" s="8"/>
      <c r="H364" s="6"/>
      <c r="I364" s="8"/>
      <c r="J364" s="6"/>
      <c r="K364" s="6"/>
      <c r="L364" s="6"/>
      <c r="M364" s="7"/>
      <c r="N364" s="6"/>
      <c r="O364" s="7"/>
      <c r="P364" s="8"/>
      <c r="Q364" s="4"/>
      <c r="R364" s="9" t="str">
        <f aca="false">IF(N364="Sim","Fechado (Total)",IF(N364="Parcial","Fechado (Parcial)",IF(N364="Não","Perdido",IF(N364="Pendente","Pendente",IF(N364="Não precisa no momento","Não Precisa no Momento",IF(L364="Sim","Plano de Tratamento",IF(J364="Não","Não Compareceu",IF(J364="Sim","Compareceu",IF(H364="Não","Perdido",IF(H364="Sim","Consulta Marcada",IF(A364="","","Novo Paciente")))))))))))</f>
        <v/>
      </c>
      <c r="S364" s="4"/>
      <c r="T364" s="10" t="str">
        <f aca="false">IF(A364="","",SUMPRODUCT(($R$2:R364=R364)*($A$2:A364&lt;&gt;"")))</f>
        <v/>
      </c>
      <c r="U364" s="10" t="str">
        <f aca="false">IF(A364="","",R364&amp;"|"&amp;T364)</f>
        <v/>
      </c>
      <c r="V364" s="10" t="str">
        <f aca="false">IF(G364="","",TEXT(G364,"mm/yyyy"))</f>
        <v/>
      </c>
      <c r="W364" s="10" t="str">
        <f aca="false">IF(P364="","",TEXT(P364,"mm/yyyy"))</f>
        <v/>
      </c>
      <c r="X364" s="10" t="str">
        <f aca="false">IF(A364="","",IF(OR(R364="Fechado (Total)",R364="Fechado (Parcial)"),"Fechado|"&amp;SUMPRODUCT((($R$2:R364="Fechado (Total)")+($R$2:R364="Fechado (Parcial)"))*($A$2:A364&lt;&gt;"")),""))</f>
        <v/>
      </c>
      <c r="Y364" s="10" t="str">
        <f aca="false">IF(A364="","",IF(D364="Indicação",SUMPRODUCT(($D$2:D364="Indicação")*($A$2:A364&lt;&gt;"")),""))</f>
        <v/>
      </c>
      <c r="Z364" s="10" t="str">
        <f aca="false">IF(Y364="","","Indicacao|"&amp;Y364)</f>
        <v/>
      </c>
      <c r="AA364" s="10" t="str">
        <f aca="false">IF(I364="","",TEXT(I364,"mm/yyyy"))</f>
        <v/>
      </c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8"/>
      <c r="H365" s="6"/>
      <c r="I365" s="8"/>
      <c r="J365" s="6"/>
      <c r="K365" s="6"/>
      <c r="L365" s="6"/>
      <c r="M365" s="7"/>
      <c r="N365" s="6"/>
      <c r="O365" s="7"/>
      <c r="P365" s="8"/>
      <c r="Q365" s="4"/>
      <c r="R365" s="9" t="str">
        <f aca="false">IF(N365="Sim","Fechado (Total)",IF(N365="Parcial","Fechado (Parcial)",IF(N365="Não","Perdido",IF(N365="Pendente","Pendente",IF(N365="Não precisa no momento","Não Precisa no Momento",IF(L365="Sim","Plano de Tratamento",IF(J365="Não","Não Compareceu",IF(J365="Sim","Compareceu",IF(H365="Não","Perdido",IF(H365="Sim","Consulta Marcada",IF(A365="","","Novo Paciente")))))))))))</f>
        <v/>
      </c>
      <c r="S365" s="4"/>
      <c r="T365" s="10" t="str">
        <f aca="false">IF(A365="","",SUMPRODUCT(($R$2:R365=R365)*($A$2:A365&lt;&gt;"")))</f>
        <v/>
      </c>
      <c r="U365" s="10" t="str">
        <f aca="false">IF(A365="","",R365&amp;"|"&amp;T365)</f>
        <v/>
      </c>
      <c r="V365" s="10" t="str">
        <f aca="false">IF(G365="","",TEXT(G365,"mm/yyyy"))</f>
        <v/>
      </c>
      <c r="W365" s="10" t="str">
        <f aca="false">IF(P365="","",TEXT(P365,"mm/yyyy"))</f>
        <v/>
      </c>
      <c r="X365" s="10" t="str">
        <f aca="false">IF(A365="","",IF(OR(R365="Fechado (Total)",R365="Fechado (Parcial)"),"Fechado|"&amp;SUMPRODUCT((($R$2:R365="Fechado (Total)")+($R$2:R365="Fechado (Parcial)"))*($A$2:A365&lt;&gt;"")),""))</f>
        <v/>
      </c>
      <c r="Y365" s="10" t="str">
        <f aca="false">IF(A365="","",IF(D365="Indicação",SUMPRODUCT(($D$2:D365="Indicação")*($A$2:A365&lt;&gt;"")),""))</f>
        <v/>
      </c>
      <c r="Z365" s="10" t="str">
        <f aca="false">IF(Y365="","","Indicacao|"&amp;Y365)</f>
        <v/>
      </c>
      <c r="AA365" s="10" t="str">
        <f aca="false">IF(I365="","",TEXT(I365,"mm/yyyy"))</f>
        <v/>
      </c>
    </row>
    <row r="366" customFormat="false" ht="15" hidden="false" customHeight="true" outlineLevel="0" collapsed="false">
      <c r="A366" s="4"/>
      <c r="B366" s="4"/>
      <c r="C366" s="4"/>
      <c r="D366" s="4"/>
      <c r="E366" s="4"/>
      <c r="F366" s="4"/>
      <c r="G366" s="8"/>
      <c r="H366" s="6"/>
      <c r="I366" s="8"/>
      <c r="J366" s="6"/>
      <c r="K366" s="6"/>
      <c r="L366" s="6"/>
      <c r="M366" s="7"/>
      <c r="N366" s="6"/>
      <c r="O366" s="7"/>
      <c r="P366" s="8"/>
      <c r="Q366" s="4"/>
      <c r="R366" s="9" t="str">
        <f aca="false">IF(N366="Sim","Fechado (Total)",IF(N366="Parcial","Fechado (Parcial)",IF(N366="Não","Perdido",IF(N366="Pendente","Pendente",IF(N366="Não precisa no momento","Não Precisa no Momento",IF(L366="Sim","Plano de Tratamento",IF(J366="Não","Não Compareceu",IF(J366="Sim","Compareceu",IF(H366="Não","Perdido",IF(H366="Sim","Consulta Marcada",IF(A366="","","Novo Paciente")))))))))))</f>
        <v/>
      </c>
      <c r="S366" s="4"/>
      <c r="T366" s="10" t="str">
        <f aca="false">IF(A366="","",SUMPRODUCT(($R$2:R366=R366)*($A$2:A366&lt;&gt;"")))</f>
        <v/>
      </c>
      <c r="U366" s="10" t="str">
        <f aca="false">IF(A366="","",R366&amp;"|"&amp;T366)</f>
        <v/>
      </c>
      <c r="V366" s="10" t="str">
        <f aca="false">IF(G366="","",TEXT(G366,"mm/yyyy"))</f>
        <v/>
      </c>
      <c r="W366" s="10" t="str">
        <f aca="false">IF(P366="","",TEXT(P366,"mm/yyyy"))</f>
        <v/>
      </c>
      <c r="X366" s="10" t="str">
        <f aca="false">IF(A366="","",IF(OR(R366="Fechado (Total)",R366="Fechado (Parcial)"),"Fechado|"&amp;SUMPRODUCT((($R$2:R366="Fechado (Total)")+($R$2:R366="Fechado (Parcial)"))*($A$2:A366&lt;&gt;"")),""))</f>
        <v/>
      </c>
      <c r="Y366" s="10" t="str">
        <f aca="false">IF(A366="","",IF(D366="Indicação",SUMPRODUCT(($D$2:D366="Indicação")*($A$2:A366&lt;&gt;"")),""))</f>
        <v/>
      </c>
      <c r="Z366" s="10" t="str">
        <f aca="false">IF(Y366="","","Indicacao|"&amp;Y366)</f>
        <v/>
      </c>
      <c r="AA366" s="10" t="str">
        <f aca="false">IF(I366="","",TEXT(I366,"mm/yyyy"))</f>
        <v/>
      </c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8"/>
      <c r="H367" s="6"/>
      <c r="I367" s="8"/>
      <c r="J367" s="6"/>
      <c r="K367" s="6"/>
      <c r="L367" s="6"/>
      <c r="M367" s="7"/>
      <c r="N367" s="6"/>
      <c r="O367" s="7"/>
      <c r="P367" s="8"/>
      <c r="Q367" s="4"/>
      <c r="R367" s="9" t="str">
        <f aca="false">IF(N367="Sim","Fechado (Total)",IF(N367="Parcial","Fechado (Parcial)",IF(N367="Não","Perdido",IF(N367="Pendente","Pendente",IF(N367="Não precisa no momento","Não Precisa no Momento",IF(L367="Sim","Plano de Tratamento",IF(J367="Não","Não Compareceu",IF(J367="Sim","Compareceu",IF(H367="Não","Perdido",IF(H367="Sim","Consulta Marcada",IF(A367="","","Novo Paciente")))))))))))</f>
        <v/>
      </c>
      <c r="S367" s="4"/>
      <c r="T367" s="10" t="str">
        <f aca="false">IF(A367="","",SUMPRODUCT(($R$2:R367=R367)*($A$2:A367&lt;&gt;"")))</f>
        <v/>
      </c>
      <c r="U367" s="10" t="str">
        <f aca="false">IF(A367="","",R367&amp;"|"&amp;T367)</f>
        <v/>
      </c>
      <c r="V367" s="10" t="str">
        <f aca="false">IF(G367="","",TEXT(G367,"mm/yyyy"))</f>
        <v/>
      </c>
      <c r="W367" s="10" t="str">
        <f aca="false">IF(P367="","",TEXT(P367,"mm/yyyy"))</f>
        <v/>
      </c>
      <c r="X367" s="10" t="str">
        <f aca="false">IF(A367="","",IF(OR(R367="Fechado (Total)",R367="Fechado (Parcial)"),"Fechado|"&amp;SUMPRODUCT((($R$2:R367="Fechado (Total)")+($R$2:R367="Fechado (Parcial)"))*($A$2:A367&lt;&gt;"")),""))</f>
        <v/>
      </c>
      <c r="Y367" s="10" t="str">
        <f aca="false">IF(A367="","",IF(D367="Indicação",SUMPRODUCT(($D$2:D367="Indicação")*($A$2:A367&lt;&gt;"")),""))</f>
        <v/>
      </c>
      <c r="Z367" s="10" t="str">
        <f aca="false">IF(Y367="","","Indicacao|"&amp;Y367)</f>
        <v/>
      </c>
      <c r="AA367" s="10" t="str">
        <f aca="false">IF(I367="","",TEXT(I367,"mm/yyyy"))</f>
        <v/>
      </c>
    </row>
    <row r="368" customFormat="false" ht="15" hidden="false" customHeight="true" outlineLevel="0" collapsed="false">
      <c r="A368" s="4"/>
      <c r="B368" s="4"/>
      <c r="C368" s="4"/>
      <c r="D368" s="4"/>
      <c r="E368" s="4"/>
      <c r="F368" s="4"/>
      <c r="G368" s="8"/>
      <c r="H368" s="6"/>
      <c r="I368" s="8"/>
      <c r="J368" s="6"/>
      <c r="K368" s="6"/>
      <c r="L368" s="6"/>
      <c r="M368" s="7"/>
      <c r="N368" s="6"/>
      <c r="O368" s="7"/>
      <c r="P368" s="8"/>
      <c r="Q368" s="4"/>
      <c r="R368" s="9" t="str">
        <f aca="false">IF(N368="Sim","Fechado (Total)",IF(N368="Parcial","Fechado (Parcial)",IF(N368="Não","Perdido",IF(N368="Pendente","Pendente",IF(N368="Não precisa no momento","Não Precisa no Momento",IF(L368="Sim","Plano de Tratamento",IF(J368="Não","Não Compareceu",IF(J368="Sim","Compareceu",IF(H368="Não","Perdido",IF(H368="Sim","Consulta Marcada",IF(A368="","","Novo Paciente")))))))))))</f>
        <v/>
      </c>
      <c r="S368" s="4"/>
      <c r="T368" s="10" t="str">
        <f aca="false">IF(A368="","",SUMPRODUCT(($R$2:R368=R368)*($A$2:A368&lt;&gt;"")))</f>
        <v/>
      </c>
      <c r="U368" s="10" t="str">
        <f aca="false">IF(A368="","",R368&amp;"|"&amp;T368)</f>
        <v/>
      </c>
      <c r="V368" s="10" t="str">
        <f aca="false">IF(G368="","",TEXT(G368,"mm/yyyy"))</f>
        <v/>
      </c>
      <c r="W368" s="10" t="str">
        <f aca="false">IF(P368="","",TEXT(P368,"mm/yyyy"))</f>
        <v/>
      </c>
      <c r="X368" s="10" t="str">
        <f aca="false">IF(A368="","",IF(OR(R368="Fechado (Total)",R368="Fechado (Parcial)"),"Fechado|"&amp;SUMPRODUCT((($R$2:R368="Fechado (Total)")+($R$2:R368="Fechado (Parcial)"))*($A$2:A368&lt;&gt;"")),""))</f>
        <v/>
      </c>
      <c r="Y368" s="10" t="str">
        <f aca="false">IF(A368="","",IF(D368="Indicação",SUMPRODUCT(($D$2:D368="Indicação")*($A$2:A368&lt;&gt;"")),""))</f>
        <v/>
      </c>
      <c r="Z368" s="10" t="str">
        <f aca="false">IF(Y368="","","Indicacao|"&amp;Y368)</f>
        <v/>
      </c>
      <c r="AA368" s="10" t="str">
        <f aca="false">IF(I368="","",TEXT(I368,"mm/yyyy"))</f>
        <v/>
      </c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8"/>
      <c r="H369" s="6"/>
      <c r="I369" s="8"/>
      <c r="J369" s="6"/>
      <c r="K369" s="6"/>
      <c r="L369" s="6"/>
      <c r="M369" s="7"/>
      <c r="N369" s="6"/>
      <c r="O369" s="7"/>
      <c r="P369" s="8"/>
      <c r="Q369" s="4"/>
      <c r="R369" s="9" t="str">
        <f aca="false">IF(N369="Sim","Fechado (Total)",IF(N369="Parcial","Fechado (Parcial)",IF(N369="Não","Perdido",IF(N369="Pendente","Pendente",IF(N369="Não precisa no momento","Não Precisa no Momento",IF(L369="Sim","Plano de Tratamento",IF(J369="Não","Não Compareceu",IF(J369="Sim","Compareceu",IF(H369="Não","Perdido",IF(H369="Sim","Consulta Marcada",IF(A369="","","Novo Paciente")))))))))))</f>
        <v/>
      </c>
      <c r="S369" s="4"/>
      <c r="T369" s="10" t="str">
        <f aca="false">IF(A369="","",SUMPRODUCT(($R$2:R369=R369)*($A$2:A369&lt;&gt;"")))</f>
        <v/>
      </c>
      <c r="U369" s="10" t="str">
        <f aca="false">IF(A369="","",R369&amp;"|"&amp;T369)</f>
        <v/>
      </c>
      <c r="V369" s="10" t="str">
        <f aca="false">IF(G369="","",TEXT(G369,"mm/yyyy"))</f>
        <v/>
      </c>
      <c r="W369" s="10" t="str">
        <f aca="false">IF(P369="","",TEXT(P369,"mm/yyyy"))</f>
        <v/>
      </c>
      <c r="X369" s="10" t="str">
        <f aca="false">IF(A369="","",IF(OR(R369="Fechado (Total)",R369="Fechado (Parcial)"),"Fechado|"&amp;SUMPRODUCT((($R$2:R369="Fechado (Total)")+($R$2:R369="Fechado (Parcial)"))*($A$2:A369&lt;&gt;"")),""))</f>
        <v/>
      </c>
      <c r="Y369" s="10" t="str">
        <f aca="false">IF(A369="","",IF(D369="Indicação",SUMPRODUCT(($D$2:D369="Indicação")*($A$2:A369&lt;&gt;"")),""))</f>
        <v/>
      </c>
      <c r="Z369" s="10" t="str">
        <f aca="false">IF(Y369="","","Indicacao|"&amp;Y369)</f>
        <v/>
      </c>
      <c r="AA369" s="10" t="str">
        <f aca="false">IF(I369="","",TEXT(I369,"mm/yyyy"))</f>
        <v/>
      </c>
    </row>
    <row r="370" customFormat="false" ht="15" hidden="false" customHeight="true" outlineLevel="0" collapsed="false">
      <c r="A370" s="4"/>
      <c r="B370" s="4"/>
      <c r="C370" s="4"/>
      <c r="D370" s="4"/>
      <c r="E370" s="4"/>
      <c r="F370" s="4"/>
      <c r="G370" s="8"/>
      <c r="H370" s="6"/>
      <c r="I370" s="8"/>
      <c r="J370" s="6"/>
      <c r="K370" s="6"/>
      <c r="L370" s="6"/>
      <c r="M370" s="7"/>
      <c r="N370" s="6"/>
      <c r="O370" s="7"/>
      <c r="P370" s="8"/>
      <c r="Q370" s="4"/>
      <c r="R370" s="9" t="str">
        <f aca="false">IF(N370="Sim","Fechado (Total)",IF(N370="Parcial","Fechado (Parcial)",IF(N370="Não","Perdido",IF(N370="Pendente","Pendente",IF(N370="Não precisa no momento","Não Precisa no Momento",IF(L370="Sim","Plano de Tratamento",IF(J370="Não","Não Compareceu",IF(J370="Sim","Compareceu",IF(H370="Não","Perdido",IF(H370="Sim","Consulta Marcada",IF(A370="","","Novo Paciente")))))))))))</f>
        <v/>
      </c>
      <c r="S370" s="4"/>
      <c r="T370" s="10" t="str">
        <f aca="false">IF(A370="","",SUMPRODUCT(($R$2:R370=R370)*($A$2:A370&lt;&gt;"")))</f>
        <v/>
      </c>
      <c r="U370" s="10" t="str">
        <f aca="false">IF(A370="","",R370&amp;"|"&amp;T370)</f>
        <v/>
      </c>
      <c r="V370" s="10" t="str">
        <f aca="false">IF(G370="","",TEXT(G370,"mm/yyyy"))</f>
        <v/>
      </c>
      <c r="W370" s="10" t="str">
        <f aca="false">IF(P370="","",TEXT(P370,"mm/yyyy"))</f>
        <v/>
      </c>
      <c r="X370" s="10" t="str">
        <f aca="false">IF(A370="","",IF(OR(R370="Fechado (Total)",R370="Fechado (Parcial)"),"Fechado|"&amp;SUMPRODUCT((($R$2:R370="Fechado (Total)")+($R$2:R370="Fechado (Parcial)"))*($A$2:A370&lt;&gt;"")),""))</f>
        <v/>
      </c>
      <c r="Y370" s="10" t="str">
        <f aca="false">IF(A370="","",IF(D370="Indicação",SUMPRODUCT(($D$2:D370="Indicação")*($A$2:A370&lt;&gt;"")),""))</f>
        <v/>
      </c>
      <c r="Z370" s="10" t="str">
        <f aca="false">IF(Y370="","","Indicacao|"&amp;Y370)</f>
        <v/>
      </c>
      <c r="AA370" s="10" t="str">
        <f aca="false">IF(I370="","",TEXT(I370,"mm/yyyy"))</f>
        <v/>
      </c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8"/>
      <c r="H371" s="6"/>
      <c r="I371" s="8"/>
      <c r="J371" s="6"/>
      <c r="K371" s="6"/>
      <c r="L371" s="6"/>
      <c r="M371" s="7"/>
      <c r="N371" s="6"/>
      <c r="O371" s="7"/>
      <c r="P371" s="8"/>
      <c r="Q371" s="4"/>
      <c r="R371" s="9" t="str">
        <f aca="false">IF(N371="Sim","Fechado (Total)",IF(N371="Parcial","Fechado (Parcial)",IF(N371="Não","Perdido",IF(N371="Pendente","Pendente",IF(N371="Não precisa no momento","Não Precisa no Momento",IF(L371="Sim","Plano de Tratamento",IF(J371="Não","Não Compareceu",IF(J371="Sim","Compareceu",IF(H371="Não","Perdido",IF(H371="Sim","Consulta Marcada",IF(A371="","","Novo Paciente")))))))))))</f>
        <v/>
      </c>
      <c r="S371" s="4"/>
      <c r="T371" s="10" t="str">
        <f aca="false">IF(A371="","",SUMPRODUCT(($R$2:R371=R371)*($A$2:A371&lt;&gt;"")))</f>
        <v/>
      </c>
      <c r="U371" s="10" t="str">
        <f aca="false">IF(A371="","",R371&amp;"|"&amp;T371)</f>
        <v/>
      </c>
      <c r="V371" s="10" t="str">
        <f aca="false">IF(G371="","",TEXT(G371,"mm/yyyy"))</f>
        <v/>
      </c>
      <c r="W371" s="10" t="str">
        <f aca="false">IF(P371="","",TEXT(P371,"mm/yyyy"))</f>
        <v/>
      </c>
      <c r="X371" s="10" t="str">
        <f aca="false">IF(A371="","",IF(OR(R371="Fechado (Total)",R371="Fechado (Parcial)"),"Fechado|"&amp;SUMPRODUCT((($R$2:R371="Fechado (Total)")+($R$2:R371="Fechado (Parcial)"))*($A$2:A371&lt;&gt;"")),""))</f>
        <v/>
      </c>
      <c r="Y371" s="10" t="str">
        <f aca="false">IF(A371="","",IF(D371="Indicação",SUMPRODUCT(($D$2:D371="Indicação")*($A$2:A371&lt;&gt;"")),""))</f>
        <v/>
      </c>
      <c r="Z371" s="10" t="str">
        <f aca="false">IF(Y371="","","Indicacao|"&amp;Y371)</f>
        <v/>
      </c>
      <c r="AA371" s="10" t="str">
        <f aca="false">IF(I371="","",TEXT(I371,"mm/yyyy"))</f>
        <v/>
      </c>
    </row>
    <row r="372" customFormat="false" ht="15" hidden="false" customHeight="true" outlineLevel="0" collapsed="false">
      <c r="A372" s="4"/>
      <c r="B372" s="4"/>
      <c r="C372" s="4"/>
      <c r="D372" s="4"/>
      <c r="E372" s="4"/>
      <c r="F372" s="4"/>
      <c r="G372" s="8"/>
      <c r="H372" s="6"/>
      <c r="I372" s="8"/>
      <c r="J372" s="6"/>
      <c r="K372" s="6"/>
      <c r="L372" s="6"/>
      <c r="M372" s="7"/>
      <c r="N372" s="6"/>
      <c r="O372" s="7"/>
      <c r="P372" s="8"/>
      <c r="Q372" s="4"/>
      <c r="R372" s="9" t="str">
        <f aca="false">IF(N372="Sim","Fechado (Total)",IF(N372="Parcial","Fechado (Parcial)",IF(N372="Não","Perdido",IF(N372="Pendente","Pendente",IF(N372="Não precisa no momento","Não Precisa no Momento",IF(L372="Sim","Plano de Tratamento",IF(J372="Não","Não Compareceu",IF(J372="Sim","Compareceu",IF(H372="Não","Perdido",IF(H372="Sim","Consulta Marcada",IF(A372="","","Novo Paciente")))))))))))</f>
        <v/>
      </c>
      <c r="S372" s="4"/>
      <c r="T372" s="10" t="str">
        <f aca="false">IF(A372="","",SUMPRODUCT(($R$2:R372=R372)*($A$2:A372&lt;&gt;"")))</f>
        <v/>
      </c>
      <c r="U372" s="10" t="str">
        <f aca="false">IF(A372="","",R372&amp;"|"&amp;T372)</f>
        <v/>
      </c>
      <c r="V372" s="10" t="str">
        <f aca="false">IF(G372="","",TEXT(G372,"mm/yyyy"))</f>
        <v/>
      </c>
      <c r="W372" s="10" t="str">
        <f aca="false">IF(P372="","",TEXT(P372,"mm/yyyy"))</f>
        <v/>
      </c>
      <c r="X372" s="10" t="str">
        <f aca="false">IF(A372="","",IF(OR(R372="Fechado (Total)",R372="Fechado (Parcial)"),"Fechado|"&amp;SUMPRODUCT((($R$2:R372="Fechado (Total)")+($R$2:R372="Fechado (Parcial)"))*($A$2:A372&lt;&gt;"")),""))</f>
        <v/>
      </c>
      <c r="Y372" s="10" t="str">
        <f aca="false">IF(A372="","",IF(D372="Indicação",SUMPRODUCT(($D$2:D372="Indicação")*($A$2:A372&lt;&gt;"")),""))</f>
        <v/>
      </c>
      <c r="Z372" s="10" t="str">
        <f aca="false">IF(Y372="","","Indicacao|"&amp;Y372)</f>
        <v/>
      </c>
      <c r="AA372" s="10" t="str">
        <f aca="false">IF(I372="","",TEXT(I372,"mm/yyyy"))</f>
        <v/>
      </c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8"/>
      <c r="H373" s="6"/>
      <c r="I373" s="8"/>
      <c r="J373" s="6"/>
      <c r="K373" s="6"/>
      <c r="L373" s="6"/>
      <c r="M373" s="7"/>
      <c r="N373" s="6"/>
      <c r="O373" s="7"/>
      <c r="P373" s="8"/>
      <c r="Q373" s="4"/>
      <c r="R373" s="9" t="str">
        <f aca="false">IF(N373="Sim","Fechado (Total)",IF(N373="Parcial","Fechado (Parcial)",IF(N373="Não","Perdido",IF(N373="Pendente","Pendente",IF(N373="Não precisa no momento","Não Precisa no Momento",IF(L373="Sim","Plano de Tratamento",IF(J373="Não","Não Compareceu",IF(J373="Sim","Compareceu",IF(H373="Não","Perdido",IF(H373="Sim","Consulta Marcada",IF(A373="","","Novo Paciente")))))))))))</f>
        <v/>
      </c>
      <c r="S373" s="4"/>
      <c r="T373" s="10" t="str">
        <f aca="false">IF(A373="","",SUMPRODUCT(($R$2:R373=R373)*($A$2:A373&lt;&gt;"")))</f>
        <v/>
      </c>
      <c r="U373" s="10" t="str">
        <f aca="false">IF(A373="","",R373&amp;"|"&amp;T373)</f>
        <v/>
      </c>
      <c r="V373" s="10" t="str">
        <f aca="false">IF(G373="","",TEXT(G373,"mm/yyyy"))</f>
        <v/>
      </c>
      <c r="W373" s="10" t="str">
        <f aca="false">IF(P373="","",TEXT(P373,"mm/yyyy"))</f>
        <v/>
      </c>
      <c r="X373" s="10" t="str">
        <f aca="false">IF(A373="","",IF(OR(R373="Fechado (Total)",R373="Fechado (Parcial)"),"Fechado|"&amp;SUMPRODUCT((($R$2:R373="Fechado (Total)")+($R$2:R373="Fechado (Parcial)"))*($A$2:A373&lt;&gt;"")),""))</f>
        <v/>
      </c>
      <c r="Y373" s="10" t="str">
        <f aca="false">IF(A373="","",IF(D373="Indicação",SUMPRODUCT(($D$2:D373="Indicação")*($A$2:A373&lt;&gt;"")),""))</f>
        <v/>
      </c>
      <c r="Z373" s="10" t="str">
        <f aca="false">IF(Y373="","","Indicacao|"&amp;Y373)</f>
        <v/>
      </c>
      <c r="AA373" s="10" t="str">
        <f aca="false">IF(I373="","",TEXT(I373,"mm/yyyy"))</f>
        <v/>
      </c>
    </row>
    <row r="374" customFormat="false" ht="15" hidden="false" customHeight="true" outlineLevel="0" collapsed="false">
      <c r="A374" s="4"/>
      <c r="B374" s="4"/>
      <c r="C374" s="4"/>
      <c r="D374" s="4"/>
      <c r="E374" s="4"/>
      <c r="F374" s="4"/>
      <c r="G374" s="8"/>
      <c r="H374" s="6"/>
      <c r="I374" s="8"/>
      <c r="J374" s="6"/>
      <c r="K374" s="6"/>
      <c r="L374" s="6"/>
      <c r="M374" s="7"/>
      <c r="N374" s="6"/>
      <c r="O374" s="7"/>
      <c r="P374" s="8"/>
      <c r="Q374" s="4"/>
      <c r="R374" s="9" t="str">
        <f aca="false">IF(N374="Sim","Fechado (Total)",IF(N374="Parcial","Fechado (Parcial)",IF(N374="Não","Perdido",IF(N374="Pendente","Pendente",IF(N374="Não precisa no momento","Não Precisa no Momento",IF(L374="Sim","Plano de Tratamento",IF(J374="Não","Não Compareceu",IF(J374="Sim","Compareceu",IF(H374="Não","Perdido",IF(H374="Sim","Consulta Marcada",IF(A374="","","Novo Paciente")))))))))))</f>
        <v/>
      </c>
      <c r="S374" s="4"/>
      <c r="T374" s="10" t="str">
        <f aca="false">IF(A374="","",SUMPRODUCT(($R$2:R374=R374)*($A$2:A374&lt;&gt;"")))</f>
        <v/>
      </c>
      <c r="U374" s="10" t="str">
        <f aca="false">IF(A374="","",R374&amp;"|"&amp;T374)</f>
        <v/>
      </c>
      <c r="V374" s="10" t="str">
        <f aca="false">IF(G374="","",TEXT(G374,"mm/yyyy"))</f>
        <v/>
      </c>
      <c r="W374" s="10" t="str">
        <f aca="false">IF(P374="","",TEXT(P374,"mm/yyyy"))</f>
        <v/>
      </c>
      <c r="X374" s="10" t="str">
        <f aca="false">IF(A374="","",IF(OR(R374="Fechado (Total)",R374="Fechado (Parcial)"),"Fechado|"&amp;SUMPRODUCT((($R$2:R374="Fechado (Total)")+($R$2:R374="Fechado (Parcial)"))*($A$2:A374&lt;&gt;"")),""))</f>
        <v/>
      </c>
      <c r="Y374" s="10" t="str">
        <f aca="false">IF(A374="","",IF(D374="Indicação",SUMPRODUCT(($D$2:D374="Indicação")*($A$2:A374&lt;&gt;"")),""))</f>
        <v/>
      </c>
      <c r="Z374" s="10" t="str">
        <f aca="false">IF(Y374="","","Indicacao|"&amp;Y374)</f>
        <v/>
      </c>
      <c r="AA374" s="10" t="str">
        <f aca="false">IF(I374="","",TEXT(I374,"mm/yyyy"))</f>
        <v/>
      </c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8"/>
      <c r="H375" s="6"/>
      <c r="I375" s="8"/>
      <c r="J375" s="6"/>
      <c r="K375" s="6"/>
      <c r="L375" s="6"/>
      <c r="M375" s="7"/>
      <c r="N375" s="6"/>
      <c r="O375" s="7"/>
      <c r="P375" s="8"/>
      <c r="Q375" s="4"/>
      <c r="R375" s="9" t="str">
        <f aca="false">IF(N375="Sim","Fechado (Total)",IF(N375="Parcial","Fechado (Parcial)",IF(N375="Não","Perdido",IF(N375="Pendente","Pendente",IF(N375="Não precisa no momento","Não Precisa no Momento",IF(L375="Sim","Plano de Tratamento",IF(J375="Não","Não Compareceu",IF(J375="Sim","Compareceu",IF(H375="Não","Perdido",IF(H375="Sim","Consulta Marcada",IF(A375="","","Novo Paciente")))))))))))</f>
        <v/>
      </c>
      <c r="S375" s="4"/>
      <c r="T375" s="10" t="str">
        <f aca="false">IF(A375="","",SUMPRODUCT(($R$2:R375=R375)*($A$2:A375&lt;&gt;"")))</f>
        <v/>
      </c>
      <c r="U375" s="10" t="str">
        <f aca="false">IF(A375="","",R375&amp;"|"&amp;T375)</f>
        <v/>
      </c>
      <c r="V375" s="10" t="str">
        <f aca="false">IF(G375="","",TEXT(G375,"mm/yyyy"))</f>
        <v/>
      </c>
      <c r="W375" s="10" t="str">
        <f aca="false">IF(P375="","",TEXT(P375,"mm/yyyy"))</f>
        <v/>
      </c>
      <c r="X375" s="10" t="str">
        <f aca="false">IF(A375="","",IF(OR(R375="Fechado (Total)",R375="Fechado (Parcial)"),"Fechado|"&amp;SUMPRODUCT((($R$2:R375="Fechado (Total)")+($R$2:R375="Fechado (Parcial)"))*($A$2:A375&lt;&gt;"")),""))</f>
        <v/>
      </c>
      <c r="Y375" s="10" t="str">
        <f aca="false">IF(A375="","",IF(D375="Indicação",SUMPRODUCT(($D$2:D375="Indicação")*($A$2:A375&lt;&gt;"")),""))</f>
        <v/>
      </c>
      <c r="Z375" s="10" t="str">
        <f aca="false">IF(Y375="","","Indicacao|"&amp;Y375)</f>
        <v/>
      </c>
      <c r="AA375" s="10" t="str">
        <f aca="false">IF(I375="","",TEXT(I375,"mm/yyyy"))</f>
        <v/>
      </c>
    </row>
    <row r="376" customFormat="false" ht="15" hidden="false" customHeight="true" outlineLevel="0" collapsed="false">
      <c r="A376" s="4"/>
      <c r="B376" s="4"/>
      <c r="C376" s="4"/>
      <c r="D376" s="4"/>
      <c r="E376" s="4"/>
      <c r="F376" s="4"/>
      <c r="G376" s="8"/>
      <c r="H376" s="6"/>
      <c r="I376" s="8"/>
      <c r="J376" s="6"/>
      <c r="K376" s="6"/>
      <c r="L376" s="6"/>
      <c r="M376" s="7"/>
      <c r="N376" s="6"/>
      <c r="O376" s="7"/>
      <c r="P376" s="8"/>
      <c r="Q376" s="4"/>
      <c r="R376" s="9" t="str">
        <f aca="false">IF(N376="Sim","Fechado (Total)",IF(N376="Parcial","Fechado (Parcial)",IF(N376="Não","Perdido",IF(N376="Pendente","Pendente",IF(N376="Não precisa no momento","Não Precisa no Momento",IF(L376="Sim","Plano de Tratamento",IF(J376="Não","Não Compareceu",IF(J376="Sim","Compareceu",IF(H376="Não","Perdido",IF(H376="Sim","Consulta Marcada",IF(A376="","","Novo Paciente")))))))))))</f>
        <v/>
      </c>
      <c r="S376" s="4"/>
      <c r="T376" s="10" t="str">
        <f aca="false">IF(A376="","",SUMPRODUCT(($R$2:R376=R376)*($A$2:A376&lt;&gt;"")))</f>
        <v/>
      </c>
      <c r="U376" s="10" t="str">
        <f aca="false">IF(A376="","",R376&amp;"|"&amp;T376)</f>
        <v/>
      </c>
      <c r="V376" s="10" t="str">
        <f aca="false">IF(G376="","",TEXT(G376,"mm/yyyy"))</f>
        <v/>
      </c>
      <c r="W376" s="10" t="str">
        <f aca="false">IF(P376="","",TEXT(P376,"mm/yyyy"))</f>
        <v/>
      </c>
      <c r="X376" s="10" t="str">
        <f aca="false">IF(A376="","",IF(OR(R376="Fechado (Total)",R376="Fechado (Parcial)"),"Fechado|"&amp;SUMPRODUCT((($R$2:R376="Fechado (Total)")+($R$2:R376="Fechado (Parcial)"))*($A$2:A376&lt;&gt;"")),""))</f>
        <v/>
      </c>
      <c r="Y376" s="10" t="str">
        <f aca="false">IF(A376="","",IF(D376="Indicação",SUMPRODUCT(($D$2:D376="Indicação")*($A$2:A376&lt;&gt;"")),""))</f>
        <v/>
      </c>
      <c r="Z376" s="10" t="str">
        <f aca="false">IF(Y376="","","Indicacao|"&amp;Y376)</f>
        <v/>
      </c>
      <c r="AA376" s="10" t="str">
        <f aca="false">IF(I376="","",TEXT(I376,"mm/yyyy"))</f>
        <v/>
      </c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8"/>
      <c r="H377" s="6"/>
      <c r="I377" s="8"/>
      <c r="J377" s="6"/>
      <c r="K377" s="6"/>
      <c r="L377" s="6"/>
      <c r="M377" s="7"/>
      <c r="N377" s="6"/>
      <c r="O377" s="7"/>
      <c r="P377" s="8"/>
      <c r="Q377" s="4"/>
      <c r="R377" s="9" t="str">
        <f aca="false">IF(N377="Sim","Fechado (Total)",IF(N377="Parcial","Fechado (Parcial)",IF(N377="Não","Perdido",IF(N377="Pendente","Pendente",IF(N377="Não precisa no momento","Não Precisa no Momento",IF(L377="Sim","Plano de Tratamento",IF(J377="Não","Não Compareceu",IF(J377="Sim","Compareceu",IF(H377="Não","Perdido",IF(H377="Sim","Consulta Marcada",IF(A377="","","Novo Paciente")))))))))))</f>
        <v/>
      </c>
      <c r="S377" s="4"/>
      <c r="T377" s="10" t="str">
        <f aca="false">IF(A377="","",SUMPRODUCT(($R$2:R377=R377)*($A$2:A377&lt;&gt;"")))</f>
        <v/>
      </c>
      <c r="U377" s="10" t="str">
        <f aca="false">IF(A377="","",R377&amp;"|"&amp;T377)</f>
        <v/>
      </c>
      <c r="V377" s="10" t="str">
        <f aca="false">IF(G377="","",TEXT(G377,"mm/yyyy"))</f>
        <v/>
      </c>
      <c r="W377" s="10" t="str">
        <f aca="false">IF(P377="","",TEXT(P377,"mm/yyyy"))</f>
        <v/>
      </c>
      <c r="X377" s="10" t="str">
        <f aca="false">IF(A377="","",IF(OR(R377="Fechado (Total)",R377="Fechado (Parcial)"),"Fechado|"&amp;SUMPRODUCT((($R$2:R377="Fechado (Total)")+($R$2:R377="Fechado (Parcial)"))*($A$2:A377&lt;&gt;"")),""))</f>
        <v/>
      </c>
      <c r="Y377" s="10" t="str">
        <f aca="false">IF(A377="","",IF(D377="Indicação",SUMPRODUCT(($D$2:D377="Indicação")*($A$2:A377&lt;&gt;"")),""))</f>
        <v/>
      </c>
      <c r="Z377" s="10" t="str">
        <f aca="false">IF(Y377="","","Indicacao|"&amp;Y377)</f>
        <v/>
      </c>
      <c r="AA377" s="10" t="str">
        <f aca="false">IF(I377="","",TEXT(I377,"mm/yyyy"))</f>
        <v/>
      </c>
    </row>
    <row r="378" customFormat="false" ht="15" hidden="false" customHeight="true" outlineLevel="0" collapsed="false">
      <c r="A378" s="4"/>
      <c r="B378" s="4"/>
      <c r="C378" s="4"/>
      <c r="D378" s="4"/>
      <c r="E378" s="4"/>
      <c r="F378" s="4"/>
      <c r="G378" s="8"/>
      <c r="H378" s="6"/>
      <c r="I378" s="8"/>
      <c r="J378" s="6"/>
      <c r="K378" s="6"/>
      <c r="L378" s="6"/>
      <c r="M378" s="7"/>
      <c r="N378" s="6"/>
      <c r="O378" s="7"/>
      <c r="P378" s="8"/>
      <c r="Q378" s="4"/>
      <c r="R378" s="9" t="str">
        <f aca="false">IF(N378="Sim","Fechado (Total)",IF(N378="Parcial","Fechado (Parcial)",IF(N378="Não","Perdido",IF(N378="Pendente","Pendente",IF(N378="Não precisa no momento","Não Precisa no Momento",IF(L378="Sim","Plano de Tratamento",IF(J378="Não","Não Compareceu",IF(J378="Sim","Compareceu",IF(H378="Não","Perdido",IF(H378="Sim","Consulta Marcada",IF(A378="","","Novo Paciente")))))))))))</f>
        <v/>
      </c>
      <c r="S378" s="4"/>
      <c r="T378" s="10" t="str">
        <f aca="false">IF(A378="","",SUMPRODUCT(($R$2:R378=R378)*($A$2:A378&lt;&gt;"")))</f>
        <v/>
      </c>
      <c r="U378" s="10" t="str">
        <f aca="false">IF(A378="","",R378&amp;"|"&amp;T378)</f>
        <v/>
      </c>
      <c r="V378" s="10" t="str">
        <f aca="false">IF(G378="","",TEXT(G378,"mm/yyyy"))</f>
        <v/>
      </c>
      <c r="W378" s="10" t="str">
        <f aca="false">IF(P378="","",TEXT(P378,"mm/yyyy"))</f>
        <v/>
      </c>
      <c r="X378" s="10" t="str">
        <f aca="false">IF(A378="","",IF(OR(R378="Fechado (Total)",R378="Fechado (Parcial)"),"Fechado|"&amp;SUMPRODUCT((($R$2:R378="Fechado (Total)")+($R$2:R378="Fechado (Parcial)"))*($A$2:A378&lt;&gt;"")),""))</f>
        <v/>
      </c>
      <c r="Y378" s="10" t="str">
        <f aca="false">IF(A378="","",IF(D378="Indicação",SUMPRODUCT(($D$2:D378="Indicação")*($A$2:A378&lt;&gt;"")),""))</f>
        <v/>
      </c>
      <c r="Z378" s="10" t="str">
        <f aca="false">IF(Y378="","","Indicacao|"&amp;Y378)</f>
        <v/>
      </c>
      <c r="AA378" s="10" t="str">
        <f aca="false">IF(I378="","",TEXT(I378,"mm/yyyy"))</f>
        <v/>
      </c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8"/>
      <c r="H379" s="6"/>
      <c r="I379" s="8"/>
      <c r="J379" s="6"/>
      <c r="K379" s="6"/>
      <c r="L379" s="6"/>
      <c r="M379" s="7"/>
      <c r="N379" s="6"/>
      <c r="O379" s="7"/>
      <c r="P379" s="8"/>
      <c r="Q379" s="4"/>
      <c r="R379" s="9" t="str">
        <f aca="false">IF(N379="Sim","Fechado (Total)",IF(N379="Parcial","Fechado (Parcial)",IF(N379="Não","Perdido",IF(N379="Pendente","Pendente",IF(N379="Não precisa no momento","Não Precisa no Momento",IF(L379="Sim","Plano de Tratamento",IF(J379="Não","Não Compareceu",IF(J379="Sim","Compareceu",IF(H379="Não","Perdido",IF(H379="Sim","Consulta Marcada",IF(A379="","","Novo Paciente")))))))))))</f>
        <v/>
      </c>
      <c r="S379" s="4"/>
      <c r="T379" s="10" t="str">
        <f aca="false">IF(A379="","",SUMPRODUCT(($R$2:R379=R379)*($A$2:A379&lt;&gt;"")))</f>
        <v/>
      </c>
      <c r="U379" s="10" t="str">
        <f aca="false">IF(A379="","",R379&amp;"|"&amp;T379)</f>
        <v/>
      </c>
      <c r="V379" s="10" t="str">
        <f aca="false">IF(G379="","",TEXT(G379,"mm/yyyy"))</f>
        <v/>
      </c>
      <c r="W379" s="10" t="str">
        <f aca="false">IF(P379="","",TEXT(P379,"mm/yyyy"))</f>
        <v/>
      </c>
      <c r="X379" s="10" t="str">
        <f aca="false">IF(A379="","",IF(OR(R379="Fechado (Total)",R379="Fechado (Parcial)"),"Fechado|"&amp;SUMPRODUCT((($R$2:R379="Fechado (Total)")+($R$2:R379="Fechado (Parcial)"))*($A$2:A379&lt;&gt;"")),""))</f>
        <v/>
      </c>
      <c r="Y379" s="10" t="str">
        <f aca="false">IF(A379="","",IF(D379="Indicação",SUMPRODUCT(($D$2:D379="Indicação")*($A$2:A379&lt;&gt;"")),""))</f>
        <v/>
      </c>
      <c r="Z379" s="10" t="str">
        <f aca="false">IF(Y379="","","Indicacao|"&amp;Y379)</f>
        <v/>
      </c>
      <c r="AA379" s="10" t="str">
        <f aca="false">IF(I379="","",TEXT(I379,"mm/yyyy"))</f>
        <v/>
      </c>
    </row>
    <row r="380" customFormat="false" ht="15" hidden="false" customHeight="true" outlineLevel="0" collapsed="false">
      <c r="A380" s="4"/>
      <c r="B380" s="4"/>
      <c r="C380" s="4"/>
      <c r="D380" s="4"/>
      <c r="E380" s="4"/>
      <c r="F380" s="4"/>
      <c r="G380" s="8"/>
      <c r="H380" s="6"/>
      <c r="I380" s="8"/>
      <c r="J380" s="6"/>
      <c r="K380" s="6"/>
      <c r="L380" s="6"/>
      <c r="M380" s="7"/>
      <c r="N380" s="6"/>
      <c r="O380" s="7"/>
      <c r="P380" s="8"/>
      <c r="Q380" s="4"/>
      <c r="R380" s="9" t="str">
        <f aca="false">IF(N380="Sim","Fechado (Total)",IF(N380="Parcial","Fechado (Parcial)",IF(N380="Não","Perdido",IF(N380="Pendente","Pendente",IF(N380="Não precisa no momento","Não Precisa no Momento",IF(L380="Sim","Plano de Tratamento",IF(J380="Não","Não Compareceu",IF(J380="Sim","Compareceu",IF(H380="Não","Perdido",IF(H380="Sim","Consulta Marcada",IF(A380="","","Novo Paciente")))))))))))</f>
        <v/>
      </c>
      <c r="S380" s="4"/>
      <c r="T380" s="10" t="str">
        <f aca="false">IF(A380="","",SUMPRODUCT(($R$2:R380=R380)*($A$2:A380&lt;&gt;"")))</f>
        <v/>
      </c>
      <c r="U380" s="10" t="str">
        <f aca="false">IF(A380="","",R380&amp;"|"&amp;T380)</f>
        <v/>
      </c>
      <c r="V380" s="10" t="str">
        <f aca="false">IF(G380="","",TEXT(G380,"mm/yyyy"))</f>
        <v/>
      </c>
      <c r="W380" s="10" t="str">
        <f aca="false">IF(P380="","",TEXT(P380,"mm/yyyy"))</f>
        <v/>
      </c>
      <c r="X380" s="10" t="str">
        <f aca="false">IF(A380="","",IF(OR(R380="Fechado (Total)",R380="Fechado (Parcial)"),"Fechado|"&amp;SUMPRODUCT((($R$2:R380="Fechado (Total)")+($R$2:R380="Fechado (Parcial)"))*($A$2:A380&lt;&gt;"")),""))</f>
        <v/>
      </c>
      <c r="Y380" s="10" t="str">
        <f aca="false">IF(A380="","",IF(D380="Indicação",SUMPRODUCT(($D$2:D380="Indicação")*($A$2:A380&lt;&gt;"")),""))</f>
        <v/>
      </c>
      <c r="Z380" s="10" t="str">
        <f aca="false">IF(Y380="","","Indicacao|"&amp;Y380)</f>
        <v/>
      </c>
      <c r="AA380" s="10" t="str">
        <f aca="false">IF(I380="","",TEXT(I380,"mm/yyyy"))</f>
        <v/>
      </c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8"/>
      <c r="H381" s="6"/>
      <c r="I381" s="8"/>
      <c r="J381" s="6"/>
      <c r="K381" s="6"/>
      <c r="L381" s="6"/>
      <c r="M381" s="7"/>
      <c r="N381" s="6"/>
      <c r="O381" s="7"/>
      <c r="P381" s="8"/>
      <c r="Q381" s="4"/>
      <c r="R381" s="9" t="str">
        <f aca="false">IF(N381="Sim","Fechado (Total)",IF(N381="Parcial","Fechado (Parcial)",IF(N381="Não","Perdido",IF(N381="Pendente","Pendente",IF(N381="Não precisa no momento","Não Precisa no Momento",IF(L381="Sim","Plano de Tratamento",IF(J381="Não","Não Compareceu",IF(J381="Sim","Compareceu",IF(H381="Não","Perdido",IF(H381="Sim","Consulta Marcada",IF(A381="","","Novo Paciente")))))))))))</f>
        <v/>
      </c>
      <c r="S381" s="4"/>
      <c r="T381" s="10" t="str">
        <f aca="false">IF(A381="","",SUMPRODUCT(($R$2:R381=R381)*($A$2:A381&lt;&gt;"")))</f>
        <v/>
      </c>
      <c r="U381" s="10" t="str">
        <f aca="false">IF(A381="","",R381&amp;"|"&amp;T381)</f>
        <v/>
      </c>
      <c r="V381" s="10" t="str">
        <f aca="false">IF(G381="","",TEXT(G381,"mm/yyyy"))</f>
        <v/>
      </c>
      <c r="W381" s="10" t="str">
        <f aca="false">IF(P381="","",TEXT(P381,"mm/yyyy"))</f>
        <v/>
      </c>
      <c r="X381" s="10" t="str">
        <f aca="false">IF(A381="","",IF(OR(R381="Fechado (Total)",R381="Fechado (Parcial)"),"Fechado|"&amp;SUMPRODUCT((($R$2:R381="Fechado (Total)")+($R$2:R381="Fechado (Parcial)"))*($A$2:A381&lt;&gt;"")),""))</f>
        <v/>
      </c>
      <c r="Y381" s="10" t="str">
        <f aca="false">IF(A381="","",IF(D381="Indicação",SUMPRODUCT(($D$2:D381="Indicação")*($A$2:A381&lt;&gt;"")),""))</f>
        <v/>
      </c>
      <c r="Z381" s="10" t="str">
        <f aca="false">IF(Y381="","","Indicacao|"&amp;Y381)</f>
        <v/>
      </c>
      <c r="AA381" s="10" t="str">
        <f aca="false">IF(I381="","",TEXT(I381,"mm/yyyy"))</f>
        <v/>
      </c>
    </row>
    <row r="382" customFormat="false" ht="15" hidden="false" customHeight="true" outlineLevel="0" collapsed="false">
      <c r="A382" s="4"/>
      <c r="B382" s="4"/>
      <c r="C382" s="4"/>
      <c r="D382" s="4"/>
      <c r="E382" s="4"/>
      <c r="F382" s="4"/>
      <c r="G382" s="8"/>
      <c r="H382" s="6"/>
      <c r="I382" s="8"/>
      <c r="J382" s="6"/>
      <c r="K382" s="6"/>
      <c r="L382" s="6"/>
      <c r="M382" s="7"/>
      <c r="N382" s="6"/>
      <c r="O382" s="7"/>
      <c r="P382" s="8"/>
      <c r="Q382" s="4"/>
      <c r="R382" s="9" t="str">
        <f aca="false">IF(N382="Sim","Fechado (Total)",IF(N382="Parcial","Fechado (Parcial)",IF(N382="Não","Perdido",IF(N382="Pendente","Pendente",IF(N382="Não precisa no momento","Não Precisa no Momento",IF(L382="Sim","Plano de Tratamento",IF(J382="Não","Não Compareceu",IF(J382="Sim","Compareceu",IF(H382="Não","Perdido",IF(H382="Sim","Consulta Marcada",IF(A382="","","Novo Paciente")))))))))))</f>
        <v/>
      </c>
      <c r="S382" s="4"/>
      <c r="T382" s="10" t="str">
        <f aca="false">IF(A382="","",SUMPRODUCT(($R$2:R382=R382)*($A$2:A382&lt;&gt;"")))</f>
        <v/>
      </c>
      <c r="U382" s="10" t="str">
        <f aca="false">IF(A382="","",R382&amp;"|"&amp;T382)</f>
        <v/>
      </c>
      <c r="V382" s="10" t="str">
        <f aca="false">IF(G382="","",TEXT(G382,"mm/yyyy"))</f>
        <v/>
      </c>
      <c r="W382" s="10" t="str">
        <f aca="false">IF(P382="","",TEXT(P382,"mm/yyyy"))</f>
        <v/>
      </c>
      <c r="X382" s="10" t="str">
        <f aca="false">IF(A382="","",IF(OR(R382="Fechado (Total)",R382="Fechado (Parcial)"),"Fechado|"&amp;SUMPRODUCT((($R$2:R382="Fechado (Total)")+($R$2:R382="Fechado (Parcial)"))*($A$2:A382&lt;&gt;"")),""))</f>
        <v/>
      </c>
      <c r="Y382" s="10" t="str">
        <f aca="false">IF(A382="","",IF(D382="Indicação",SUMPRODUCT(($D$2:D382="Indicação")*($A$2:A382&lt;&gt;"")),""))</f>
        <v/>
      </c>
      <c r="Z382" s="10" t="str">
        <f aca="false">IF(Y382="","","Indicacao|"&amp;Y382)</f>
        <v/>
      </c>
      <c r="AA382" s="10" t="str">
        <f aca="false">IF(I382="","",TEXT(I382,"mm/yyyy"))</f>
        <v/>
      </c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8"/>
      <c r="H383" s="6"/>
      <c r="I383" s="8"/>
      <c r="J383" s="6"/>
      <c r="K383" s="6"/>
      <c r="L383" s="6"/>
      <c r="M383" s="7"/>
      <c r="N383" s="6"/>
      <c r="O383" s="7"/>
      <c r="P383" s="8"/>
      <c r="Q383" s="4"/>
      <c r="R383" s="9" t="str">
        <f aca="false">IF(N383="Sim","Fechado (Total)",IF(N383="Parcial","Fechado (Parcial)",IF(N383="Não","Perdido",IF(N383="Pendente","Pendente",IF(N383="Não precisa no momento","Não Precisa no Momento",IF(L383="Sim","Plano de Tratamento",IF(J383="Não","Não Compareceu",IF(J383="Sim","Compareceu",IF(H383="Não","Perdido",IF(H383="Sim","Consulta Marcada",IF(A383="","","Novo Paciente")))))))))))</f>
        <v/>
      </c>
      <c r="S383" s="4"/>
      <c r="T383" s="10" t="str">
        <f aca="false">IF(A383="","",SUMPRODUCT(($R$2:R383=R383)*($A$2:A383&lt;&gt;"")))</f>
        <v/>
      </c>
      <c r="U383" s="10" t="str">
        <f aca="false">IF(A383="","",R383&amp;"|"&amp;T383)</f>
        <v/>
      </c>
      <c r="V383" s="10" t="str">
        <f aca="false">IF(G383="","",TEXT(G383,"mm/yyyy"))</f>
        <v/>
      </c>
      <c r="W383" s="10" t="str">
        <f aca="false">IF(P383="","",TEXT(P383,"mm/yyyy"))</f>
        <v/>
      </c>
      <c r="X383" s="10" t="str">
        <f aca="false">IF(A383="","",IF(OR(R383="Fechado (Total)",R383="Fechado (Parcial)"),"Fechado|"&amp;SUMPRODUCT((($R$2:R383="Fechado (Total)")+($R$2:R383="Fechado (Parcial)"))*($A$2:A383&lt;&gt;"")),""))</f>
        <v/>
      </c>
      <c r="Y383" s="10" t="str">
        <f aca="false">IF(A383="","",IF(D383="Indicação",SUMPRODUCT(($D$2:D383="Indicação")*($A$2:A383&lt;&gt;"")),""))</f>
        <v/>
      </c>
      <c r="Z383" s="10" t="str">
        <f aca="false">IF(Y383="","","Indicacao|"&amp;Y383)</f>
        <v/>
      </c>
      <c r="AA383" s="10" t="str">
        <f aca="false">IF(I383="","",TEXT(I383,"mm/yyyy"))</f>
        <v/>
      </c>
    </row>
    <row r="384" customFormat="false" ht="15" hidden="false" customHeight="true" outlineLevel="0" collapsed="false">
      <c r="A384" s="4"/>
      <c r="B384" s="4"/>
      <c r="C384" s="4"/>
      <c r="D384" s="4"/>
      <c r="E384" s="4"/>
      <c r="F384" s="4"/>
      <c r="G384" s="8"/>
      <c r="H384" s="6"/>
      <c r="I384" s="8"/>
      <c r="J384" s="6"/>
      <c r="K384" s="6"/>
      <c r="L384" s="6"/>
      <c r="M384" s="7"/>
      <c r="N384" s="6"/>
      <c r="O384" s="7"/>
      <c r="P384" s="8"/>
      <c r="Q384" s="4"/>
      <c r="R384" s="9" t="str">
        <f aca="false">IF(N384="Sim","Fechado (Total)",IF(N384="Parcial","Fechado (Parcial)",IF(N384="Não","Perdido",IF(N384="Pendente","Pendente",IF(N384="Não precisa no momento","Não Precisa no Momento",IF(L384="Sim","Plano de Tratamento",IF(J384="Não","Não Compareceu",IF(J384="Sim","Compareceu",IF(H384="Não","Perdido",IF(H384="Sim","Consulta Marcada",IF(A384="","","Novo Paciente")))))))))))</f>
        <v/>
      </c>
      <c r="S384" s="4"/>
      <c r="T384" s="10" t="str">
        <f aca="false">IF(A384="","",SUMPRODUCT(($R$2:R384=R384)*($A$2:A384&lt;&gt;"")))</f>
        <v/>
      </c>
      <c r="U384" s="10" t="str">
        <f aca="false">IF(A384="","",R384&amp;"|"&amp;T384)</f>
        <v/>
      </c>
      <c r="V384" s="10" t="str">
        <f aca="false">IF(G384="","",TEXT(G384,"mm/yyyy"))</f>
        <v/>
      </c>
      <c r="W384" s="10" t="str">
        <f aca="false">IF(P384="","",TEXT(P384,"mm/yyyy"))</f>
        <v/>
      </c>
      <c r="X384" s="10" t="str">
        <f aca="false">IF(A384="","",IF(OR(R384="Fechado (Total)",R384="Fechado (Parcial)"),"Fechado|"&amp;SUMPRODUCT((($R$2:R384="Fechado (Total)")+($R$2:R384="Fechado (Parcial)"))*($A$2:A384&lt;&gt;"")),""))</f>
        <v/>
      </c>
      <c r="Y384" s="10" t="str">
        <f aca="false">IF(A384="","",IF(D384="Indicação",SUMPRODUCT(($D$2:D384="Indicação")*($A$2:A384&lt;&gt;"")),""))</f>
        <v/>
      </c>
      <c r="Z384" s="10" t="str">
        <f aca="false">IF(Y384="","","Indicacao|"&amp;Y384)</f>
        <v/>
      </c>
      <c r="AA384" s="10" t="str">
        <f aca="false">IF(I384="","",TEXT(I384,"mm/yyyy"))</f>
        <v/>
      </c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8"/>
      <c r="H385" s="6"/>
      <c r="I385" s="8"/>
      <c r="J385" s="6"/>
      <c r="K385" s="6"/>
      <c r="L385" s="6"/>
      <c r="M385" s="7"/>
      <c r="N385" s="6"/>
      <c r="O385" s="7"/>
      <c r="P385" s="8"/>
      <c r="Q385" s="4"/>
      <c r="R385" s="9" t="str">
        <f aca="false">IF(N385="Sim","Fechado (Total)",IF(N385="Parcial","Fechado (Parcial)",IF(N385="Não","Perdido",IF(N385="Pendente","Pendente",IF(N385="Não precisa no momento","Não Precisa no Momento",IF(L385="Sim","Plano de Tratamento",IF(J385="Não","Não Compareceu",IF(J385="Sim","Compareceu",IF(H385="Não","Perdido",IF(H385="Sim","Consulta Marcada",IF(A385="","","Novo Paciente")))))))))))</f>
        <v/>
      </c>
      <c r="S385" s="4"/>
      <c r="T385" s="10" t="str">
        <f aca="false">IF(A385="","",SUMPRODUCT(($R$2:R385=R385)*($A$2:A385&lt;&gt;"")))</f>
        <v/>
      </c>
      <c r="U385" s="10" t="str">
        <f aca="false">IF(A385="","",R385&amp;"|"&amp;T385)</f>
        <v/>
      </c>
      <c r="V385" s="10" t="str">
        <f aca="false">IF(G385="","",TEXT(G385,"mm/yyyy"))</f>
        <v/>
      </c>
      <c r="W385" s="10" t="str">
        <f aca="false">IF(P385="","",TEXT(P385,"mm/yyyy"))</f>
        <v/>
      </c>
      <c r="X385" s="10" t="str">
        <f aca="false">IF(A385="","",IF(OR(R385="Fechado (Total)",R385="Fechado (Parcial)"),"Fechado|"&amp;SUMPRODUCT((($R$2:R385="Fechado (Total)")+($R$2:R385="Fechado (Parcial)"))*($A$2:A385&lt;&gt;"")),""))</f>
        <v/>
      </c>
      <c r="Y385" s="10" t="str">
        <f aca="false">IF(A385="","",IF(D385="Indicação",SUMPRODUCT(($D$2:D385="Indicação")*($A$2:A385&lt;&gt;"")),""))</f>
        <v/>
      </c>
      <c r="Z385" s="10" t="str">
        <f aca="false">IF(Y385="","","Indicacao|"&amp;Y385)</f>
        <v/>
      </c>
      <c r="AA385" s="10" t="str">
        <f aca="false">IF(I385="","",TEXT(I385,"mm/yyyy"))</f>
        <v/>
      </c>
    </row>
    <row r="386" customFormat="false" ht="15" hidden="false" customHeight="true" outlineLevel="0" collapsed="false">
      <c r="A386" s="4"/>
      <c r="B386" s="4"/>
      <c r="C386" s="4"/>
      <c r="D386" s="4"/>
      <c r="E386" s="4"/>
      <c r="F386" s="4"/>
      <c r="G386" s="8"/>
      <c r="H386" s="6"/>
      <c r="I386" s="8"/>
      <c r="J386" s="6"/>
      <c r="K386" s="6"/>
      <c r="L386" s="6"/>
      <c r="M386" s="7"/>
      <c r="N386" s="6"/>
      <c r="O386" s="7"/>
      <c r="P386" s="8"/>
      <c r="Q386" s="4"/>
      <c r="R386" s="9" t="str">
        <f aca="false">IF(N386="Sim","Fechado (Total)",IF(N386="Parcial","Fechado (Parcial)",IF(N386="Não","Perdido",IF(N386="Pendente","Pendente",IF(N386="Não precisa no momento","Não Precisa no Momento",IF(L386="Sim","Plano de Tratamento",IF(J386="Não","Não Compareceu",IF(J386="Sim","Compareceu",IF(H386="Não","Perdido",IF(H386="Sim","Consulta Marcada",IF(A386="","","Novo Paciente")))))))))))</f>
        <v/>
      </c>
      <c r="S386" s="4"/>
      <c r="T386" s="10" t="str">
        <f aca="false">IF(A386="","",SUMPRODUCT(($R$2:R386=R386)*($A$2:A386&lt;&gt;"")))</f>
        <v/>
      </c>
      <c r="U386" s="10" t="str">
        <f aca="false">IF(A386="","",R386&amp;"|"&amp;T386)</f>
        <v/>
      </c>
      <c r="V386" s="10" t="str">
        <f aca="false">IF(G386="","",TEXT(G386,"mm/yyyy"))</f>
        <v/>
      </c>
      <c r="W386" s="10" t="str">
        <f aca="false">IF(P386="","",TEXT(P386,"mm/yyyy"))</f>
        <v/>
      </c>
      <c r="X386" s="10" t="str">
        <f aca="false">IF(A386="","",IF(OR(R386="Fechado (Total)",R386="Fechado (Parcial)"),"Fechado|"&amp;SUMPRODUCT((($R$2:R386="Fechado (Total)")+($R$2:R386="Fechado (Parcial)"))*($A$2:A386&lt;&gt;"")),""))</f>
        <v/>
      </c>
      <c r="Y386" s="10" t="str">
        <f aca="false">IF(A386="","",IF(D386="Indicação",SUMPRODUCT(($D$2:D386="Indicação")*($A$2:A386&lt;&gt;"")),""))</f>
        <v/>
      </c>
      <c r="Z386" s="10" t="str">
        <f aca="false">IF(Y386="","","Indicacao|"&amp;Y386)</f>
        <v/>
      </c>
      <c r="AA386" s="10" t="str">
        <f aca="false">IF(I386="","",TEXT(I386,"mm/yyyy"))</f>
        <v/>
      </c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8"/>
      <c r="H387" s="6"/>
      <c r="I387" s="8"/>
      <c r="J387" s="6"/>
      <c r="K387" s="6"/>
      <c r="L387" s="6"/>
      <c r="M387" s="7"/>
      <c r="N387" s="6"/>
      <c r="O387" s="7"/>
      <c r="P387" s="8"/>
      <c r="Q387" s="4"/>
      <c r="R387" s="9" t="str">
        <f aca="false">IF(N387="Sim","Fechado (Total)",IF(N387="Parcial","Fechado (Parcial)",IF(N387="Não","Perdido",IF(N387="Pendente","Pendente",IF(N387="Não precisa no momento","Não Precisa no Momento",IF(L387="Sim","Plano de Tratamento",IF(J387="Não","Não Compareceu",IF(J387="Sim","Compareceu",IF(H387="Não","Perdido",IF(H387="Sim","Consulta Marcada",IF(A387="","","Novo Paciente")))))))))))</f>
        <v/>
      </c>
      <c r="S387" s="4"/>
      <c r="T387" s="10" t="str">
        <f aca="false">IF(A387="","",SUMPRODUCT(($R$2:R387=R387)*($A$2:A387&lt;&gt;"")))</f>
        <v/>
      </c>
      <c r="U387" s="10" t="str">
        <f aca="false">IF(A387="","",R387&amp;"|"&amp;T387)</f>
        <v/>
      </c>
      <c r="V387" s="10" t="str">
        <f aca="false">IF(G387="","",TEXT(G387,"mm/yyyy"))</f>
        <v/>
      </c>
      <c r="W387" s="10" t="str">
        <f aca="false">IF(P387="","",TEXT(P387,"mm/yyyy"))</f>
        <v/>
      </c>
      <c r="X387" s="10" t="str">
        <f aca="false">IF(A387="","",IF(OR(R387="Fechado (Total)",R387="Fechado (Parcial)"),"Fechado|"&amp;SUMPRODUCT((($R$2:R387="Fechado (Total)")+($R$2:R387="Fechado (Parcial)"))*($A$2:A387&lt;&gt;"")),""))</f>
        <v/>
      </c>
      <c r="Y387" s="10" t="str">
        <f aca="false">IF(A387="","",IF(D387="Indicação",SUMPRODUCT(($D$2:D387="Indicação")*($A$2:A387&lt;&gt;"")),""))</f>
        <v/>
      </c>
      <c r="Z387" s="10" t="str">
        <f aca="false">IF(Y387="","","Indicacao|"&amp;Y387)</f>
        <v/>
      </c>
      <c r="AA387" s="10" t="str">
        <f aca="false">IF(I387="","",TEXT(I387,"mm/yyyy"))</f>
        <v/>
      </c>
    </row>
    <row r="388" customFormat="false" ht="15" hidden="false" customHeight="true" outlineLevel="0" collapsed="false">
      <c r="A388" s="4"/>
      <c r="B388" s="4"/>
      <c r="C388" s="4"/>
      <c r="D388" s="4"/>
      <c r="E388" s="4"/>
      <c r="F388" s="4"/>
      <c r="G388" s="8"/>
      <c r="H388" s="6"/>
      <c r="I388" s="8"/>
      <c r="J388" s="6"/>
      <c r="K388" s="6"/>
      <c r="L388" s="6"/>
      <c r="M388" s="7"/>
      <c r="N388" s="6"/>
      <c r="O388" s="7"/>
      <c r="P388" s="8"/>
      <c r="Q388" s="4"/>
      <c r="R388" s="9" t="str">
        <f aca="false">IF(N388="Sim","Fechado (Total)",IF(N388="Parcial","Fechado (Parcial)",IF(N388="Não","Perdido",IF(N388="Pendente","Pendente",IF(N388="Não precisa no momento","Não Precisa no Momento",IF(L388="Sim","Plano de Tratamento",IF(J388="Não","Não Compareceu",IF(J388="Sim","Compareceu",IF(H388="Não","Perdido",IF(H388="Sim","Consulta Marcada",IF(A388="","","Novo Paciente")))))))))))</f>
        <v/>
      </c>
      <c r="S388" s="4"/>
      <c r="T388" s="10" t="str">
        <f aca="false">IF(A388="","",SUMPRODUCT(($R$2:R388=R388)*($A$2:A388&lt;&gt;"")))</f>
        <v/>
      </c>
      <c r="U388" s="10" t="str">
        <f aca="false">IF(A388="","",R388&amp;"|"&amp;T388)</f>
        <v/>
      </c>
      <c r="V388" s="10" t="str">
        <f aca="false">IF(G388="","",TEXT(G388,"mm/yyyy"))</f>
        <v/>
      </c>
      <c r="W388" s="10" t="str">
        <f aca="false">IF(P388="","",TEXT(P388,"mm/yyyy"))</f>
        <v/>
      </c>
      <c r="X388" s="10" t="str">
        <f aca="false">IF(A388="","",IF(OR(R388="Fechado (Total)",R388="Fechado (Parcial)"),"Fechado|"&amp;SUMPRODUCT((($R$2:R388="Fechado (Total)")+($R$2:R388="Fechado (Parcial)"))*($A$2:A388&lt;&gt;"")),""))</f>
        <v/>
      </c>
      <c r="Y388" s="10" t="str">
        <f aca="false">IF(A388="","",IF(D388="Indicação",SUMPRODUCT(($D$2:D388="Indicação")*($A$2:A388&lt;&gt;"")),""))</f>
        <v/>
      </c>
      <c r="Z388" s="10" t="str">
        <f aca="false">IF(Y388="","","Indicacao|"&amp;Y388)</f>
        <v/>
      </c>
      <c r="AA388" s="10" t="str">
        <f aca="false">IF(I388="","",TEXT(I388,"mm/yyyy"))</f>
        <v/>
      </c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8"/>
      <c r="H389" s="6"/>
      <c r="I389" s="8"/>
      <c r="J389" s="6"/>
      <c r="K389" s="6"/>
      <c r="L389" s="6"/>
      <c r="M389" s="7"/>
      <c r="N389" s="6"/>
      <c r="O389" s="7"/>
      <c r="P389" s="8"/>
      <c r="Q389" s="4"/>
      <c r="R389" s="9" t="str">
        <f aca="false">IF(N389="Sim","Fechado (Total)",IF(N389="Parcial","Fechado (Parcial)",IF(N389="Não","Perdido",IF(N389="Pendente","Pendente",IF(N389="Não precisa no momento","Não Precisa no Momento",IF(L389="Sim","Plano de Tratamento",IF(J389="Não","Não Compareceu",IF(J389="Sim","Compareceu",IF(H389="Não","Perdido",IF(H389="Sim","Consulta Marcada",IF(A389="","","Novo Paciente")))))))))))</f>
        <v/>
      </c>
      <c r="S389" s="4"/>
      <c r="T389" s="10" t="str">
        <f aca="false">IF(A389="","",SUMPRODUCT(($R$2:R389=R389)*($A$2:A389&lt;&gt;"")))</f>
        <v/>
      </c>
      <c r="U389" s="10" t="str">
        <f aca="false">IF(A389="","",R389&amp;"|"&amp;T389)</f>
        <v/>
      </c>
      <c r="V389" s="10" t="str">
        <f aca="false">IF(G389="","",TEXT(G389,"mm/yyyy"))</f>
        <v/>
      </c>
      <c r="W389" s="10" t="str">
        <f aca="false">IF(P389="","",TEXT(P389,"mm/yyyy"))</f>
        <v/>
      </c>
      <c r="X389" s="10" t="str">
        <f aca="false">IF(A389="","",IF(OR(R389="Fechado (Total)",R389="Fechado (Parcial)"),"Fechado|"&amp;SUMPRODUCT((($R$2:R389="Fechado (Total)")+($R$2:R389="Fechado (Parcial)"))*($A$2:A389&lt;&gt;"")),""))</f>
        <v/>
      </c>
      <c r="Y389" s="10" t="str">
        <f aca="false">IF(A389="","",IF(D389="Indicação",SUMPRODUCT(($D$2:D389="Indicação")*($A$2:A389&lt;&gt;"")),""))</f>
        <v/>
      </c>
      <c r="Z389" s="10" t="str">
        <f aca="false">IF(Y389="","","Indicacao|"&amp;Y389)</f>
        <v/>
      </c>
      <c r="AA389" s="10" t="str">
        <f aca="false">IF(I389="","",TEXT(I389,"mm/yyyy"))</f>
        <v/>
      </c>
    </row>
    <row r="390" customFormat="false" ht="15" hidden="false" customHeight="true" outlineLevel="0" collapsed="false">
      <c r="A390" s="4"/>
      <c r="B390" s="4"/>
      <c r="C390" s="4"/>
      <c r="D390" s="4"/>
      <c r="E390" s="4"/>
      <c r="F390" s="4"/>
      <c r="G390" s="8"/>
      <c r="H390" s="6"/>
      <c r="I390" s="8"/>
      <c r="J390" s="6"/>
      <c r="K390" s="6"/>
      <c r="L390" s="6"/>
      <c r="M390" s="7"/>
      <c r="N390" s="6"/>
      <c r="O390" s="7"/>
      <c r="P390" s="8"/>
      <c r="Q390" s="4"/>
      <c r="R390" s="9" t="str">
        <f aca="false">IF(N390="Sim","Fechado (Total)",IF(N390="Parcial","Fechado (Parcial)",IF(N390="Não","Perdido",IF(N390="Pendente","Pendente",IF(N390="Não precisa no momento","Não Precisa no Momento",IF(L390="Sim","Plano de Tratamento",IF(J390="Não","Não Compareceu",IF(J390="Sim","Compareceu",IF(H390="Não","Perdido",IF(H390="Sim","Consulta Marcada",IF(A390="","","Novo Paciente")))))))))))</f>
        <v/>
      </c>
      <c r="S390" s="4"/>
      <c r="T390" s="10" t="str">
        <f aca="false">IF(A390="","",SUMPRODUCT(($R$2:R390=R390)*($A$2:A390&lt;&gt;"")))</f>
        <v/>
      </c>
      <c r="U390" s="10" t="str">
        <f aca="false">IF(A390="","",R390&amp;"|"&amp;T390)</f>
        <v/>
      </c>
      <c r="V390" s="10" t="str">
        <f aca="false">IF(G390="","",TEXT(G390,"mm/yyyy"))</f>
        <v/>
      </c>
      <c r="W390" s="10" t="str">
        <f aca="false">IF(P390="","",TEXT(P390,"mm/yyyy"))</f>
        <v/>
      </c>
      <c r="X390" s="10" t="str">
        <f aca="false">IF(A390="","",IF(OR(R390="Fechado (Total)",R390="Fechado (Parcial)"),"Fechado|"&amp;SUMPRODUCT((($R$2:R390="Fechado (Total)")+($R$2:R390="Fechado (Parcial)"))*($A$2:A390&lt;&gt;"")),""))</f>
        <v/>
      </c>
      <c r="Y390" s="10" t="str">
        <f aca="false">IF(A390="","",IF(D390="Indicação",SUMPRODUCT(($D$2:D390="Indicação")*($A$2:A390&lt;&gt;"")),""))</f>
        <v/>
      </c>
      <c r="Z390" s="10" t="str">
        <f aca="false">IF(Y390="","","Indicacao|"&amp;Y390)</f>
        <v/>
      </c>
      <c r="AA390" s="10" t="str">
        <f aca="false">IF(I390="","",TEXT(I390,"mm/yyyy"))</f>
        <v/>
      </c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8"/>
      <c r="H391" s="6"/>
      <c r="I391" s="8"/>
      <c r="J391" s="6"/>
      <c r="K391" s="6"/>
      <c r="L391" s="6"/>
      <c r="M391" s="7"/>
      <c r="N391" s="6"/>
      <c r="O391" s="7"/>
      <c r="P391" s="8"/>
      <c r="Q391" s="4"/>
      <c r="R391" s="9" t="str">
        <f aca="false">IF(N391="Sim","Fechado (Total)",IF(N391="Parcial","Fechado (Parcial)",IF(N391="Não","Perdido",IF(N391="Pendente","Pendente",IF(N391="Não precisa no momento","Não Precisa no Momento",IF(L391="Sim","Plano de Tratamento",IF(J391="Não","Não Compareceu",IF(J391="Sim","Compareceu",IF(H391="Não","Perdido",IF(H391="Sim","Consulta Marcada",IF(A391="","","Novo Paciente")))))))))))</f>
        <v/>
      </c>
      <c r="S391" s="4"/>
      <c r="T391" s="10" t="str">
        <f aca="false">IF(A391="","",SUMPRODUCT(($R$2:R391=R391)*($A$2:A391&lt;&gt;"")))</f>
        <v/>
      </c>
      <c r="U391" s="10" t="str">
        <f aca="false">IF(A391="","",R391&amp;"|"&amp;T391)</f>
        <v/>
      </c>
      <c r="V391" s="10" t="str">
        <f aca="false">IF(G391="","",TEXT(G391,"mm/yyyy"))</f>
        <v/>
      </c>
      <c r="W391" s="10" t="str">
        <f aca="false">IF(P391="","",TEXT(P391,"mm/yyyy"))</f>
        <v/>
      </c>
      <c r="X391" s="10" t="str">
        <f aca="false">IF(A391="","",IF(OR(R391="Fechado (Total)",R391="Fechado (Parcial)"),"Fechado|"&amp;SUMPRODUCT((($R$2:R391="Fechado (Total)")+($R$2:R391="Fechado (Parcial)"))*($A$2:A391&lt;&gt;"")),""))</f>
        <v/>
      </c>
      <c r="Y391" s="10" t="str">
        <f aca="false">IF(A391="","",IF(D391="Indicação",SUMPRODUCT(($D$2:D391="Indicação")*($A$2:A391&lt;&gt;"")),""))</f>
        <v/>
      </c>
      <c r="Z391" s="10" t="str">
        <f aca="false">IF(Y391="","","Indicacao|"&amp;Y391)</f>
        <v/>
      </c>
      <c r="AA391" s="10" t="str">
        <f aca="false">IF(I391="","",TEXT(I391,"mm/yyyy"))</f>
        <v/>
      </c>
    </row>
    <row r="392" customFormat="false" ht="15" hidden="false" customHeight="true" outlineLevel="0" collapsed="false">
      <c r="A392" s="4"/>
      <c r="B392" s="4"/>
      <c r="C392" s="4"/>
      <c r="D392" s="4"/>
      <c r="E392" s="4"/>
      <c r="F392" s="4"/>
      <c r="G392" s="8"/>
      <c r="H392" s="6"/>
      <c r="I392" s="8"/>
      <c r="J392" s="6"/>
      <c r="K392" s="6"/>
      <c r="L392" s="6"/>
      <c r="M392" s="7"/>
      <c r="N392" s="6"/>
      <c r="O392" s="7"/>
      <c r="P392" s="8"/>
      <c r="Q392" s="4"/>
      <c r="R392" s="9" t="str">
        <f aca="false">IF(N392="Sim","Fechado (Total)",IF(N392="Parcial","Fechado (Parcial)",IF(N392="Não","Perdido",IF(N392="Pendente","Pendente",IF(N392="Não precisa no momento","Não Precisa no Momento",IF(L392="Sim","Plano de Tratamento",IF(J392="Não","Não Compareceu",IF(J392="Sim","Compareceu",IF(H392="Não","Perdido",IF(H392="Sim","Consulta Marcada",IF(A392="","","Novo Paciente")))))))))))</f>
        <v/>
      </c>
      <c r="S392" s="4"/>
      <c r="T392" s="10" t="str">
        <f aca="false">IF(A392="","",SUMPRODUCT(($R$2:R392=R392)*($A$2:A392&lt;&gt;"")))</f>
        <v/>
      </c>
      <c r="U392" s="10" t="str">
        <f aca="false">IF(A392="","",R392&amp;"|"&amp;T392)</f>
        <v/>
      </c>
      <c r="V392" s="10" t="str">
        <f aca="false">IF(G392="","",TEXT(G392,"mm/yyyy"))</f>
        <v/>
      </c>
      <c r="W392" s="10" t="str">
        <f aca="false">IF(P392="","",TEXT(P392,"mm/yyyy"))</f>
        <v/>
      </c>
      <c r="X392" s="10" t="str">
        <f aca="false">IF(A392="","",IF(OR(R392="Fechado (Total)",R392="Fechado (Parcial)"),"Fechado|"&amp;SUMPRODUCT((($R$2:R392="Fechado (Total)")+($R$2:R392="Fechado (Parcial)"))*($A$2:A392&lt;&gt;"")),""))</f>
        <v/>
      </c>
      <c r="Y392" s="10" t="str">
        <f aca="false">IF(A392="","",IF(D392="Indicação",SUMPRODUCT(($D$2:D392="Indicação")*($A$2:A392&lt;&gt;"")),""))</f>
        <v/>
      </c>
      <c r="Z392" s="10" t="str">
        <f aca="false">IF(Y392="","","Indicacao|"&amp;Y392)</f>
        <v/>
      </c>
      <c r="AA392" s="10" t="str">
        <f aca="false">IF(I392="","",TEXT(I392,"mm/yyyy"))</f>
        <v/>
      </c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8"/>
      <c r="H393" s="6"/>
      <c r="I393" s="8"/>
      <c r="J393" s="6"/>
      <c r="K393" s="6"/>
      <c r="L393" s="6"/>
      <c r="M393" s="7"/>
      <c r="N393" s="6"/>
      <c r="O393" s="7"/>
      <c r="P393" s="8"/>
      <c r="Q393" s="4"/>
      <c r="R393" s="9" t="str">
        <f aca="false">IF(N393="Sim","Fechado (Total)",IF(N393="Parcial","Fechado (Parcial)",IF(N393="Não","Perdido",IF(N393="Pendente","Pendente",IF(N393="Não precisa no momento","Não Precisa no Momento",IF(L393="Sim","Plano de Tratamento",IF(J393="Não","Não Compareceu",IF(J393="Sim","Compareceu",IF(H393="Não","Perdido",IF(H393="Sim","Consulta Marcada",IF(A393="","","Novo Paciente")))))))))))</f>
        <v/>
      </c>
      <c r="S393" s="4"/>
      <c r="T393" s="10" t="str">
        <f aca="false">IF(A393="","",SUMPRODUCT(($R$2:R393=R393)*($A$2:A393&lt;&gt;"")))</f>
        <v/>
      </c>
      <c r="U393" s="10" t="str">
        <f aca="false">IF(A393="","",R393&amp;"|"&amp;T393)</f>
        <v/>
      </c>
      <c r="V393" s="10" t="str">
        <f aca="false">IF(G393="","",TEXT(G393,"mm/yyyy"))</f>
        <v/>
      </c>
      <c r="W393" s="10" t="str">
        <f aca="false">IF(P393="","",TEXT(P393,"mm/yyyy"))</f>
        <v/>
      </c>
      <c r="X393" s="10" t="str">
        <f aca="false">IF(A393="","",IF(OR(R393="Fechado (Total)",R393="Fechado (Parcial)"),"Fechado|"&amp;SUMPRODUCT((($R$2:R393="Fechado (Total)")+($R$2:R393="Fechado (Parcial)"))*($A$2:A393&lt;&gt;"")),""))</f>
        <v/>
      </c>
      <c r="Y393" s="10" t="str">
        <f aca="false">IF(A393="","",IF(D393="Indicação",SUMPRODUCT(($D$2:D393="Indicação")*($A$2:A393&lt;&gt;"")),""))</f>
        <v/>
      </c>
      <c r="Z393" s="10" t="str">
        <f aca="false">IF(Y393="","","Indicacao|"&amp;Y393)</f>
        <v/>
      </c>
      <c r="AA393" s="10" t="str">
        <f aca="false">IF(I393="","",TEXT(I393,"mm/yyyy"))</f>
        <v/>
      </c>
    </row>
    <row r="394" customFormat="false" ht="15" hidden="false" customHeight="true" outlineLevel="0" collapsed="false">
      <c r="A394" s="4"/>
      <c r="B394" s="4"/>
      <c r="C394" s="4"/>
      <c r="D394" s="4"/>
      <c r="E394" s="4"/>
      <c r="F394" s="4"/>
      <c r="G394" s="8"/>
      <c r="H394" s="6"/>
      <c r="I394" s="8"/>
      <c r="J394" s="6"/>
      <c r="K394" s="6"/>
      <c r="L394" s="6"/>
      <c r="M394" s="7"/>
      <c r="N394" s="6"/>
      <c r="O394" s="7"/>
      <c r="P394" s="8"/>
      <c r="Q394" s="4"/>
      <c r="R394" s="9" t="str">
        <f aca="false">IF(N394="Sim","Fechado (Total)",IF(N394="Parcial","Fechado (Parcial)",IF(N394="Não","Perdido",IF(N394="Pendente","Pendente",IF(N394="Não precisa no momento","Não Precisa no Momento",IF(L394="Sim","Plano de Tratamento",IF(J394="Não","Não Compareceu",IF(J394="Sim","Compareceu",IF(H394="Não","Perdido",IF(H394="Sim","Consulta Marcada",IF(A394="","","Novo Paciente")))))))))))</f>
        <v/>
      </c>
      <c r="S394" s="4"/>
      <c r="T394" s="10" t="str">
        <f aca="false">IF(A394="","",SUMPRODUCT(($R$2:R394=R394)*($A$2:A394&lt;&gt;"")))</f>
        <v/>
      </c>
      <c r="U394" s="10" t="str">
        <f aca="false">IF(A394="","",R394&amp;"|"&amp;T394)</f>
        <v/>
      </c>
      <c r="V394" s="10" t="str">
        <f aca="false">IF(G394="","",TEXT(G394,"mm/yyyy"))</f>
        <v/>
      </c>
      <c r="W394" s="10" t="str">
        <f aca="false">IF(P394="","",TEXT(P394,"mm/yyyy"))</f>
        <v/>
      </c>
      <c r="X394" s="10" t="str">
        <f aca="false">IF(A394="","",IF(OR(R394="Fechado (Total)",R394="Fechado (Parcial)"),"Fechado|"&amp;SUMPRODUCT((($R$2:R394="Fechado (Total)")+($R$2:R394="Fechado (Parcial)"))*($A$2:A394&lt;&gt;"")),""))</f>
        <v/>
      </c>
      <c r="Y394" s="10" t="str">
        <f aca="false">IF(A394="","",IF(D394="Indicação",SUMPRODUCT(($D$2:D394="Indicação")*($A$2:A394&lt;&gt;"")),""))</f>
        <v/>
      </c>
      <c r="Z394" s="10" t="str">
        <f aca="false">IF(Y394="","","Indicacao|"&amp;Y394)</f>
        <v/>
      </c>
      <c r="AA394" s="10" t="str">
        <f aca="false">IF(I394="","",TEXT(I394,"mm/yyyy"))</f>
        <v/>
      </c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8"/>
      <c r="H395" s="6"/>
      <c r="I395" s="8"/>
      <c r="J395" s="6"/>
      <c r="K395" s="6"/>
      <c r="L395" s="6"/>
      <c r="M395" s="7"/>
      <c r="N395" s="6"/>
      <c r="O395" s="7"/>
      <c r="P395" s="8"/>
      <c r="Q395" s="4"/>
      <c r="R395" s="9" t="str">
        <f aca="false">IF(N395="Sim","Fechado (Total)",IF(N395="Parcial","Fechado (Parcial)",IF(N395="Não","Perdido",IF(N395="Pendente","Pendente",IF(N395="Não precisa no momento","Não Precisa no Momento",IF(L395="Sim","Plano de Tratamento",IF(J395="Não","Não Compareceu",IF(J395="Sim","Compareceu",IF(H395="Não","Perdido",IF(H395="Sim","Consulta Marcada",IF(A395="","","Novo Paciente")))))))))))</f>
        <v/>
      </c>
      <c r="S395" s="4"/>
      <c r="T395" s="10" t="str">
        <f aca="false">IF(A395="","",SUMPRODUCT(($R$2:R395=R395)*($A$2:A395&lt;&gt;"")))</f>
        <v/>
      </c>
      <c r="U395" s="10" t="str">
        <f aca="false">IF(A395="","",R395&amp;"|"&amp;T395)</f>
        <v/>
      </c>
      <c r="V395" s="10" t="str">
        <f aca="false">IF(G395="","",TEXT(G395,"mm/yyyy"))</f>
        <v/>
      </c>
      <c r="W395" s="10" t="str">
        <f aca="false">IF(P395="","",TEXT(P395,"mm/yyyy"))</f>
        <v/>
      </c>
      <c r="X395" s="10" t="str">
        <f aca="false">IF(A395="","",IF(OR(R395="Fechado (Total)",R395="Fechado (Parcial)"),"Fechado|"&amp;SUMPRODUCT((($R$2:R395="Fechado (Total)")+($R$2:R395="Fechado (Parcial)"))*($A$2:A395&lt;&gt;"")),""))</f>
        <v/>
      </c>
      <c r="Y395" s="10" t="str">
        <f aca="false">IF(A395="","",IF(D395="Indicação",SUMPRODUCT(($D$2:D395="Indicação")*($A$2:A395&lt;&gt;"")),""))</f>
        <v/>
      </c>
      <c r="Z395" s="10" t="str">
        <f aca="false">IF(Y395="","","Indicacao|"&amp;Y395)</f>
        <v/>
      </c>
      <c r="AA395" s="10" t="str">
        <f aca="false">IF(I395="","",TEXT(I395,"mm/yyyy"))</f>
        <v/>
      </c>
    </row>
    <row r="396" customFormat="false" ht="15" hidden="false" customHeight="true" outlineLevel="0" collapsed="false">
      <c r="A396" s="4"/>
      <c r="B396" s="4"/>
      <c r="C396" s="4"/>
      <c r="D396" s="4"/>
      <c r="E396" s="4"/>
      <c r="F396" s="4"/>
      <c r="G396" s="8"/>
      <c r="H396" s="6"/>
      <c r="I396" s="8"/>
      <c r="J396" s="6"/>
      <c r="K396" s="6"/>
      <c r="L396" s="6"/>
      <c r="M396" s="7"/>
      <c r="N396" s="6"/>
      <c r="O396" s="7"/>
      <c r="P396" s="8"/>
      <c r="Q396" s="4"/>
      <c r="R396" s="9" t="str">
        <f aca="false">IF(N396="Sim","Fechado (Total)",IF(N396="Parcial","Fechado (Parcial)",IF(N396="Não","Perdido",IF(N396="Pendente","Pendente",IF(N396="Não precisa no momento","Não Precisa no Momento",IF(L396="Sim","Plano de Tratamento",IF(J396="Não","Não Compareceu",IF(J396="Sim","Compareceu",IF(H396="Não","Perdido",IF(H396="Sim","Consulta Marcada",IF(A396="","","Novo Paciente")))))))))))</f>
        <v/>
      </c>
      <c r="S396" s="4"/>
      <c r="T396" s="10" t="str">
        <f aca="false">IF(A396="","",SUMPRODUCT(($R$2:R396=R396)*($A$2:A396&lt;&gt;"")))</f>
        <v/>
      </c>
      <c r="U396" s="10" t="str">
        <f aca="false">IF(A396="","",R396&amp;"|"&amp;T396)</f>
        <v/>
      </c>
      <c r="V396" s="10" t="str">
        <f aca="false">IF(G396="","",TEXT(G396,"mm/yyyy"))</f>
        <v/>
      </c>
      <c r="W396" s="10" t="str">
        <f aca="false">IF(P396="","",TEXT(P396,"mm/yyyy"))</f>
        <v/>
      </c>
      <c r="X396" s="10" t="str">
        <f aca="false">IF(A396="","",IF(OR(R396="Fechado (Total)",R396="Fechado (Parcial)"),"Fechado|"&amp;SUMPRODUCT((($R$2:R396="Fechado (Total)")+($R$2:R396="Fechado (Parcial)"))*($A$2:A396&lt;&gt;"")),""))</f>
        <v/>
      </c>
      <c r="Y396" s="10" t="str">
        <f aca="false">IF(A396="","",IF(D396="Indicação",SUMPRODUCT(($D$2:D396="Indicação")*($A$2:A396&lt;&gt;"")),""))</f>
        <v/>
      </c>
      <c r="Z396" s="10" t="str">
        <f aca="false">IF(Y396="","","Indicacao|"&amp;Y396)</f>
        <v/>
      </c>
      <c r="AA396" s="10" t="str">
        <f aca="false">IF(I396="","",TEXT(I396,"mm/yyyy"))</f>
        <v/>
      </c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8"/>
      <c r="H397" s="6"/>
      <c r="I397" s="8"/>
      <c r="J397" s="6"/>
      <c r="K397" s="6"/>
      <c r="L397" s="6"/>
      <c r="M397" s="7"/>
      <c r="N397" s="6"/>
      <c r="O397" s="7"/>
      <c r="P397" s="8"/>
      <c r="Q397" s="4"/>
      <c r="R397" s="9" t="str">
        <f aca="false">IF(N397="Sim","Fechado (Total)",IF(N397="Parcial","Fechado (Parcial)",IF(N397="Não","Perdido",IF(N397="Pendente","Pendente",IF(N397="Não precisa no momento","Não Precisa no Momento",IF(L397="Sim","Plano de Tratamento",IF(J397="Não","Não Compareceu",IF(J397="Sim","Compareceu",IF(H397="Não","Perdido",IF(H397="Sim","Consulta Marcada",IF(A397="","","Novo Paciente")))))))))))</f>
        <v/>
      </c>
      <c r="S397" s="4"/>
      <c r="T397" s="10" t="str">
        <f aca="false">IF(A397="","",SUMPRODUCT(($R$2:R397=R397)*($A$2:A397&lt;&gt;"")))</f>
        <v/>
      </c>
      <c r="U397" s="10" t="str">
        <f aca="false">IF(A397="","",R397&amp;"|"&amp;T397)</f>
        <v/>
      </c>
      <c r="V397" s="10" t="str">
        <f aca="false">IF(G397="","",TEXT(G397,"mm/yyyy"))</f>
        <v/>
      </c>
      <c r="W397" s="10" t="str">
        <f aca="false">IF(P397="","",TEXT(P397,"mm/yyyy"))</f>
        <v/>
      </c>
      <c r="X397" s="10" t="str">
        <f aca="false">IF(A397="","",IF(OR(R397="Fechado (Total)",R397="Fechado (Parcial)"),"Fechado|"&amp;SUMPRODUCT((($R$2:R397="Fechado (Total)")+($R$2:R397="Fechado (Parcial)"))*($A$2:A397&lt;&gt;"")),""))</f>
        <v/>
      </c>
      <c r="Y397" s="10" t="str">
        <f aca="false">IF(A397="","",IF(D397="Indicação",SUMPRODUCT(($D$2:D397="Indicação")*($A$2:A397&lt;&gt;"")),""))</f>
        <v/>
      </c>
      <c r="Z397" s="10" t="str">
        <f aca="false">IF(Y397="","","Indicacao|"&amp;Y397)</f>
        <v/>
      </c>
      <c r="AA397" s="10" t="str">
        <f aca="false">IF(I397="","",TEXT(I397,"mm/yyyy"))</f>
        <v/>
      </c>
    </row>
    <row r="398" customFormat="false" ht="15" hidden="false" customHeight="true" outlineLevel="0" collapsed="false">
      <c r="A398" s="4"/>
      <c r="B398" s="4"/>
      <c r="C398" s="4"/>
      <c r="D398" s="4"/>
      <c r="E398" s="4"/>
      <c r="F398" s="4"/>
      <c r="G398" s="8"/>
      <c r="H398" s="6"/>
      <c r="I398" s="8"/>
      <c r="J398" s="6"/>
      <c r="K398" s="6"/>
      <c r="L398" s="6"/>
      <c r="M398" s="7"/>
      <c r="N398" s="6"/>
      <c r="O398" s="7"/>
      <c r="P398" s="8"/>
      <c r="Q398" s="4"/>
      <c r="R398" s="9" t="str">
        <f aca="false">IF(N398="Sim","Fechado (Total)",IF(N398="Parcial","Fechado (Parcial)",IF(N398="Não","Perdido",IF(N398="Pendente","Pendente",IF(N398="Não precisa no momento","Não Precisa no Momento",IF(L398="Sim","Plano de Tratamento",IF(J398="Não","Não Compareceu",IF(J398="Sim","Compareceu",IF(H398="Não","Perdido",IF(H398="Sim","Consulta Marcada",IF(A398="","","Novo Paciente")))))))))))</f>
        <v/>
      </c>
      <c r="S398" s="4"/>
      <c r="T398" s="10" t="str">
        <f aca="false">IF(A398="","",SUMPRODUCT(($R$2:R398=R398)*($A$2:A398&lt;&gt;"")))</f>
        <v/>
      </c>
      <c r="U398" s="10" t="str">
        <f aca="false">IF(A398="","",R398&amp;"|"&amp;T398)</f>
        <v/>
      </c>
      <c r="V398" s="10" t="str">
        <f aca="false">IF(G398="","",TEXT(G398,"mm/yyyy"))</f>
        <v/>
      </c>
      <c r="W398" s="10" t="str">
        <f aca="false">IF(P398="","",TEXT(P398,"mm/yyyy"))</f>
        <v/>
      </c>
      <c r="X398" s="10" t="str">
        <f aca="false">IF(A398="","",IF(OR(R398="Fechado (Total)",R398="Fechado (Parcial)"),"Fechado|"&amp;SUMPRODUCT((($R$2:R398="Fechado (Total)")+($R$2:R398="Fechado (Parcial)"))*($A$2:A398&lt;&gt;"")),""))</f>
        <v/>
      </c>
      <c r="Y398" s="10" t="str">
        <f aca="false">IF(A398="","",IF(D398="Indicação",SUMPRODUCT(($D$2:D398="Indicação")*($A$2:A398&lt;&gt;"")),""))</f>
        <v/>
      </c>
      <c r="Z398" s="10" t="str">
        <f aca="false">IF(Y398="","","Indicacao|"&amp;Y398)</f>
        <v/>
      </c>
      <c r="AA398" s="10" t="str">
        <f aca="false">IF(I398="","",TEXT(I398,"mm/yyyy"))</f>
        <v/>
      </c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8"/>
      <c r="H399" s="6"/>
      <c r="I399" s="8"/>
      <c r="J399" s="6"/>
      <c r="K399" s="6"/>
      <c r="L399" s="6"/>
      <c r="M399" s="7"/>
      <c r="N399" s="6"/>
      <c r="O399" s="7"/>
      <c r="P399" s="8"/>
      <c r="Q399" s="4"/>
      <c r="R399" s="9" t="str">
        <f aca="false">IF(N399="Sim","Fechado (Total)",IF(N399="Parcial","Fechado (Parcial)",IF(N399="Não","Perdido",IF(N399="Pendente","Pendente",IF(N399="Não precisa no momento","Não Precisa no Momento",IF(L399="Sim","Plano de Tratamento",IF(J399="Não","Não Compareceu",IF(J399="Sim","Compareceu",IF(H399="Não","Perdido",IF(H399="Sim","Consulta Marcada",IF(A399="","","Novo Paciente")))))))))))</f>
        <v/>
      </c>
      <c r="S399" s="4"/>
      <c r="T399" s="10" t="str">
        <f aca="false">IF(A399="","",SUMPRODUCT(($R$2:R399=R399)*($A$2:A399&lt;&gt;"")))</f>
        <v/>
      </c>
      <c r="U399" s="10" t="str">
        <f aca="false">IF(A399="","",R399&amp;"|"&amp;T399)</f>
        <v/>
      </c>
      <c r="V399" s="10" t="str">
        <f aca="false">IF(G399="","",TEXT(G399,"mm/yyyy"))</f>
        <v/>
      </c>
      <c r="W399" s="10" t="str">
        <f aca="false">IF(P399="","",TEXT(P399,"mm/yyyy"))</f>
        <v/>
      </c>
      <c r="X399" s="10" t="str">
        <f aca="false">IF(A399="","",IF(OR(R399="Fechado (Total)",R399="Fechado (Parcial)"),"Fechado|"&amp;SUMPRODUCT((($R$2:R399="Fechado (Total)")+($R$2:R399="Fechado (Parcial)"))*($A$2:A399&lt;&gt;"")),""))</f>
        <v/>
      </c>
      <c r="Y399" s="10" t="str">
        <f aca="false">IF(A399="","",IF(D399="Indicação",SUMPRODUCT(($D$2:D399="Indicação")*($A$2:A399&lt;&gt;"")),""))</f>
        <v/>
      </c>
      <c r="Z399" s="10" t="str">
        <f aca="false">IF(Y399="","","Indicacao|"&amp;Y399)</f>
        <v/>
      </c>
      <c r="AA399" s="10" t="str">
        <f aca="false">IF(I399="","",TEXT(I399,"mm/yyyy"))</f>
        <v/>
      </c>
    </row>
    <row r="400" customFormat="false" ht="15" hidden="false" customHeight="true" outlineLevel="0" collapsed="false">
      <c r="A400" s="4"/>
      <c r="B400" s="4"/>
      <c r="C400" s="4"/>
      <c r="D400" s="4"/>
      <c r="E400" s="4"/>
      <c r="F400" s="4"/>
      <c r="G400" s="8"/>
      <c r="H400" s="6"/>
      <c r="I400" s="8"/>
      <c r="J400" s="6"/>
      <c r="K400" s="6"/>
      <c r="L400" s="6"/>
      <c r="M400" s="7"/>
      <c r="N400" s="6"/>
      <c r="O400" s="7"/>
      <c r="P400" s="8"/>
      <c r="Q400" s="4"/>
      <c r="R400" s="9" t="str">
        <f aca="false">IF(N400="Sim","Fechado (Total)",IF(N400="Parcial","Fechado (Parcial)",IF(N400="Não","Perdido",IF(N400="Pendente","Pendente",IF(N400="Não precisa no momento","Não Precisa no Momento",IF(L400="Sim","Plano de Tratamento",IF(J400="Não","Não Compareceu",IF(J400="Sim","Compareceu",IF(H400="Não","Perdido",IF(H400="Sim","Consulta Marcada",IF(A400="","","Novo Paciente")))))))))))</f>
        <v/>
      </c>
      <c r="S400" s="4"/>
      <c r="T400" s="10" t="str">
        <f aca="false">IF(A400="","",SUMPRODUCT(($R$2:R400=R400)*($A$2:A400&lt;&gt;"")))</f>
        <v/>
      </c>
      <c r="U400" s="10" t="str">
        <f aca="false">IF(A400="","",R400&amp;"|"&amp;T400)</f>
        <v/>
      </c>
      <c r="V400" s="10" t="str">
        <f aca="false">IF(G400="","",TEXT(G400,"mm/yyyy"))</f>
        <v/>
      </c>
      <c r="W400" s="10" t="str">
        <f aca="false">IF(P400="","",TEXT(P400,"mm/yyyy"))</f>
        <v/>
      </c>
      <c r="X400" s="10" t="str">
        <f aca="false">IF(A400="","",IF(OR(R400="Fechado (Total)",R400="Fechado (Parcial)"),"Fechado|"&amp;SUMPRODUCT((($R$2:R400="Fechado (Total)")+($R$2:R400="Fechado (Parcial)"))*($A$2:A400&lt;&gt;"")),""))</f>
        <v/>
      </c>
      <c r="Y400" s="10" t="str">
        <f aca="false">IF(A400="","",IF(D400="Indicação",SUMPRODUCT(($D$2:D400="Indicação")*($A$2:A400&lt;&gt;"")),""))</f>
        <v/>
      </c>
      <c r="Z400" s="10" t="str">
        <f aca="false">IF(Y400="","","Indicacao|"&amp;Y400)</f>
        <v/>
      </c>
      <c r="AA400" s="10" t="str">
        <f aca="false">IF(I400="","",TEXT(I400,"mm/yyyy"))</f>
        <v/>
      </c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8"/>
      <c r="H401" s="6"/>
      <c r="I401" s="8"/>
      <c r="J401" s="6"/>
      <c r="K401" s="6"/>
      <c r="L401" s="6"/>
      <c r="M401" s="7"/>
      <c r="N401" s="6"/>
      <c r="O401" s="7"/>
      <c r="P401" s="8"/>
      <c r="Q401" s="4"/>
      <c r="R401" s="9" t="str">
        <f aca="false">IF(N401="Sim","Fechado (Total)",IF(N401="Parcial","Fechado (Parcial)",IF(N401="Não","Perdido",IF(N401="Pendente","Pendente",IF(N401="Não precisa no momento","Não Precisa no Momento",IF(L401="Sim","Plano de Tratamento",IF(J401="Não","Não Compareceu",IF(J401="Sim","Compareceu",IF(H401="Não","Perdido",IF(H401="Sim","Consulta Marcada",IF(A401="","","Novo Paciente")))))))))))</f>
        <v/>
      </c>
      <c r="S401" s="4"/>
      <c r="T401" s="10" t="str">
        <f aca="false">IF(A401="","",SUMPRODUCT(($R$2:R401=R401)*($A$2:A401&lt;&gt;"")))</f>
        <v/>
      </c>
      <c r="U401" s="10" t="str">
        <f aca="false">IF(A401="","",R401&amp;"|"&amp;T401)</f>
        <v/>
      </c>
      <c r="V401" s="10" t="str">
        <f aca="false">IF(G401="","",TEXT(G401,"mm/yyyy"))</f>
        <v/>
      </c>
      <c r="W401" s="10" t="str">
        <f aca="false">IF(P401="","",TEXT(P401,"mm/yyyy"))</f>
        <v/>
      </c>
      <c r="X401" s="10" t="str">
        <f aca="false">IF(A401="","",IF(OR(R401="Fechado (Total)",R401="Fechado (Parcial)"),"Fechado|"&amp;SUMPRODUCT((($R$2:R401="Fechado (Total)")+($R$2:R401="Fechado (Parcial)"))*($A$2:A401&lt;&gt;"")),""))</f>
        <v/>
      </c>
      <c r="Y401" s="10" t="str">
        <f aca="false">IF(A401="","",IF(D401="Indicação",SUMPRODUCT(($D$2:D401="Indicação")*($A$2:A401&lt;&gt;"")),""))</f>
        <v/>
      </c>
      <c r="Z401" s="10" t="str">
        <f aca="false">IF(Y401="","","Indicacao|"&amp;Y401)</f>
        <v/>
      </c>
      <c r="AA401" s="10" t="str">
        <f aca="false">IF(I401="","",TEXT(I401,"mm/yyyy"))</f>
        <v/>
      </c>
    </row>
    <row r="402" customFormat="false" ht="15.75" hidden="false" customHeight="true" outlineLevel="0" collapsed="false">
      <c r="G402" s="19"/>
      <c r="I402" s="19"/>
      <c r="P402" s="19"/>
      <c r="R402" s="9" t="str">
        <f aca="false">IF(N402="Sim","Fechado (Total)",IF(N402="Parcial","Fechado (Parcial)",IF(N402="Não","Perdido",IF(N402="Pendente","Pendente",IF(N402="Não precisa no momento","Não Precisa no Momento",IF(L402="Sim","Plano de Tratamento",IF(J402="Não","Não Compareceu",IF(J402="Sim","Compareceu",IF(H402="Não","Perdido",IF(H402="Sim","Consulta Marcada",IF(A402="","","Novo Paciente")))))))))))</f>
        <v/>
      </c>
      <c r="T402" s="1" t="str">
        <f aca="false">IF(A402="","",SUMPRODUCT(($R$2:R402=R402)*($A$2:A402&lt;&gt;"")))</f>
        <v/>
      </c>
      <c r="U402" s="1" t="str">
        <f aca="false">IF(A402="","",R402&amp;"|"&amp;T402)</f>
        <v/>
      </c>
      <c r="V402" s="1" t="str">
        <f aca="false">IF(G402="","",TEXT(G402,"mm/yyyy"))</f>
        <v/>
      </c>
      <c r="W402" s="1" t="str">
        <f aca="false">IF(P402="","",TEXT(P402,"mm/yyyy"))</f>
        <v/>
      </c>
      <c r="X402" s="1" t="str">
        <f aca="false">IF(A402="","",IF(OR(R402="Fechado (Total)",R402="Fechado (Parcial)"),"Fechado|"&amp;SUMPRODUCT((($R$2:R402="Fechado (Total)")+($R$2:R402="Fechado (Parcial)"))*($A$2:A402&lt;&gt;"")),""))</f>
        <v/>
      </c>
      <c r="Y402" s="1" t="str">
        <f aca="false">IF(A402="","",IF(D402="Indicação",SUMPRODUCT(($D$2:D402="Indicação")*($A$2:A402&lt;&gt;"")),""))</f>
        <v/>
      </c>
      <c r="Z402" s="1" t="str">
        <f aca="false">IF(Y402="","","Indicacao|"&amp;Y402)</f>
        <v/>
      </c>
      <c r="AA402" s="1" t="str">
        <f aca="false">IF(I402="","",TEXT(I402,"mm/yyyy"))</f>
        <v/>
      </c>
    </row>
    <row r="403" customFormat="false" ht="15.75" hidden="false" customHeight="true" outlineLevel="0" collapsed="false">
      <c r="G403" s="19"/>
      <c r="I403" s="19"/>
      <c r="P403" s="19"/>
      <c r="R403" s="9" t="str">
        <f aca="false">IF(N403="Sim","Fechado (Total)",IF(N403="Parcial","Fechado (Parcial)",IF(N403="Não","Perdido",IF(N403="Pendente","Pendente",IF(N403="Não precisa no momento","Não Precisa no Momento",IF(L403="Sim","Plano de Tratamento",IF(J403="Não","Não Compareceu",IF(J403="Sim","Compareceu",IF(H403="Não","Perdido",IF(H403="Sim","Consulta Marcada",IF(A403="","","Novo Paciente")))))))))))</f>
        <v/>
      </c>
      <c r="T403" s="1" t="str">
        <f aca="false">IF(A403="","",SUMPRODUCT(($R$2:R403=R403)*($A$2:A403&lt;&gt;"")))</f>
        <v/>
      </c>
      <c r="U403" s="1" t="str">
        <f aca="false">IF(A403="","",R403&amp;"|"&amp;T403)</f>
        <v/>
      </c>
      <c r="V403" s="1" t="str">
        <f aca="false">IF(G403="","",TEXT(G403,"mm/yyyy"))</f>
        <v/>
      </c>
      <c r="W403" s="1" t="str">
        <f aca="false">IF(P403="","",TEXT(P403,"mm/yyyy"))</f>
        <v/>
      </c>
      <c r="X403" s="1" t="str">
        <f aca="false">IF(A403="","",IF(OR(R403="Fechado (Total)",R403="Fechado (Parcial)"),"Fechado|"&amp;SUMPRODUCT((($R$2:R403="Fechado (Total)")+($R$2:R403="Fechado (Parcial)"))*($A$2:A403&lt;&gt;"")),""))</f>
        <v/>
      </c>
      <c r="Y403" s="1" t="str">
        <f aca="false">IF(A403="","",IF(D403="Indicação",SUMPRODUCT(($D$2:D403="Indicação")*($A$2:A403&lt;&gt;"")),""))</f>
        <v/>
      </c>
      <c r="Z403" s="1" t="str">
        <f aca="false">IF(Y403="","","Indicacao|"&amp;Y403)</f>
        <v/>
      </c>
      <c r="AA403" s="1" t="str">
        <f aca="false">IF(I403="","",TEXT(I403,"mm/yyyy"))</f>
        <v/>
      </c>
    </row>
    <row r="404" customFormat="false" ht="15.75" hidden="false" customHeight="true" outlineLevel="0" collapsed="false">
      <c r="G404" s="19"/>
      <c r="I404" s="19"/>
      <c r="P404" s="19"/>
      <c r="R404" s="9" t="str">
        <f aca="false">IF(N404="Sim","Fechado (Total)",IF(N404="Parcial","Fechado (Parcial)",IF(N404="Não","Perdido",IF(N404="Pendente","Pendente",IF(N404="Não precisa no momento","Não Precisa no Momento",IF(L404="Sim","Plano de Tratamento",IF(J404="Não","Não Compareceu",IF(J404="Sim","Compareceu",IF(H404="Não","Perdido",IF(H404="Sim","Consulta Marcada",IF(A404="","","Novo Paciente")))))))))))</f>
        <v/>
      </c>
      <c r="T404" s="1" t="str">
        <f aca="false">IF(A404="","",SUMPRODUCT(($R$2:R404=R404)*($A$2:A404&lt;&gt;"")))</f>
        <v/>
      </c>
      <c r="U404" s="1" t="str">
        <f aca="false">IF(A404="","",R404&amp;"|"&amp;T404)</f>
        <v/>
      </c>
      <c r="V404" s="1" t="str">
        <f aca="false">IF(G404="","",TEXT(G404,"mm/yyyy"))</f>
        <v/>
      </c>
      <c r="W404" s="1" t="str">
        <f aca="false">IF(P404="","",TEXT(P404,"mm/yyyy"))</f>
        <v/>
      </c>
      <c r="X404" s="1" t="str">
        <f aca="false">IF(A404="","",IF(OR(R404="Fechado (Total)",R404="Fechado (Parcial)"),"Fechado|"&amp;SUMPRODUCT((($R$2:R404="Fechado (Total)")+($R$2:R404="Fechado (Parcial)"))*($A$2:A404&lt;&gt;"")),""))</f>
        <v/>
      </c>
      <c r="Y404" s="1" t="str">
        <f aca="false">IF(A404="","",IF(D404="Indicação",SUMPRODUCT(($D$2:D404="Indicação")*($A$2:A404&lt;&gt;"")),""))</f>
        <v/>
      </c>
      <c r="Z404" s="1" t="str">
        <f aca="false">IF(Y404="","","Indicacao|"&amp;Y404)</f>
        <v/>
      </c>
      <c r="AA404" s="1" t="str">
        <f aca="false">IF(I404="","",TEXT(I404,"mm/yyyy"))</f>
        <v/>
      </c>
    </row>
    <row r="405" customFormat="false" ht="15.75" hidden="false" customHeight="true" outlineLevel="0" collapsed="false">
      <c r="G405" s="19"/>
      <c r="I405" s="19"/>
      <c r="P405" s="19"/>
      <c r="R405" s="9" t="str">
        <f aca="false">IF(N405="Sim","Fechado (Total)",IF(N405="Parcial","Fechado (Parcial)",IF(N405="Não","Perdido",IF(N405="Pendente","Pendente",IF(N405="Não precisa no momento","Não Precisa no Momento",IF(L405="Sim","Plano de Tratamento",IF(J405="Não","Não Compareceu",IF(J405="Sim","Compareceu",IF(H405="Não","Perdido",IF(H405="Sim","Consulta Marcada",IF(A405="","","Novo Paciente")))))))))))</f>
        <v/>
      </c>
      <c r="T405" s="1" t="str">
        <f aca="false">IF(A405="","",SUMPRODUCT(($R$2:R405=R405)*($A$2:A405&lt;&gt;"")))</f>
        <v/>
      </c>
      <c r="U405" s="1" t="str">
        <f aca="false">IF(A405="","",R405&amp;"|"&amp;T405)</f>
        <v/>
      </c>
      <c r="V405" s="1" t="str">
        <f aca="false">IF(G405="","",TEXT(G405,"mm/yyyy"))</f>
        <v/>
      </c>
      <c r="W405" s="1" t="str">
        <f aca="false">IF(P405="","",TEXT(P405,"mm/yyyy"))</f>
        <v/>
      </c>
      <c r="X405" s="1" t="str">
        <f aca="false">IF(A405="","",IF(OR(R405="Fechado (Total)",R405="Fechado (Parcial)"),"Fechado|"&amp;SUMPRODUCT((($R$2:R405="Fechado (Total)")+($R$2:R405="Fechado (Parcial)"))*($A$2:A405&lt;&gt;"")),""))</f>
        <v/>
      </c>
      <c r="Y405" s="1" t="str">
        <f aca="false">IF(A405="","",IF(D405="Indicação",SUMPRODUCT(($D$2:D405="Indicação")*($A$2:A405&lt;&gt;"")),""))</f>
        <v/>
      </c>
      <c r="Z405" s="1" t="str">
        <f aca="false">IF(Y405="","","Indicacao|"&amp;Y405)</f>
        <v/>
      </c>
      <c r="AA405" s="1" t="str">
        <f aca="false">IF(I405="","",TEXT(I405,"mm/yyyy"))</f>
        <v/>
      </c>
    </row>
    <row r="406" customFormat="false" ht="15.75" hidden="false" customHeight="true" outlineLevel="0" collapsed="false">
      <c r="G406" s="19"/>
      <c r="I406" s="19"/>
      <c r="P406" s="19"/>
      <c r="R406" s="9" t="str">
        <f aca="false">IF(N406="Sim","Fechado (Total)",IF(N406="Parcial","Fechado (Parcial)",IF(N406="Não","Perdido",IF(N406="Pendente","Pendente",IF(N406="Não precisa no momento","Não Precisa no Momento",IF(L406="Sim","Plano de Tratamento",IF(J406="Não","Não Compareceu",IF(J406="Sim","Compareceu",IF(H406="Não","Perdido",IF(H406="Sim","Consulta Marcada",IF(A406="","","Novo Paciente")))))))))))</f>
        <v/>
      </c>
      <c r="T406" s="1" t="str">
        <f aca="false">IF(A406="","",SUMPRODUCT(($R$2:R406=R406)*($A$2:A406&lt;&gt;"")))</f>
        <v/>
      </c>
      <c r="U406" s="1" t="str">
        <f aca="false">IF(A406="","",R406&amp;"|"&amp;T406)</f>
        <v/>
      </c>
      <c r="V406" s="1" t="str">
        <f aca="false">IF(G406="","",TEXT(G406,"mm/yyyy"))</f>
        <v/>
      </c>
      <c r="W406" s="1" t="str">
        <f aca="false">IF(P406="","",TEXT(P406,"mm/yyyy"))</f>
        <v/>
      </c>
      <c r="X406" s="1" t="str">
        <f aca="false">IF(A406="","",IF(OR(R406="Fechado (Total)",R406="Fechado (Parcial)"),"Fechado|"&amp;SUMPRODUCT((($R$2:R406="Fechado (Total)")+($R$2:R406="Fechado (Parcial)"))*($A$2:A406&lt;&gt;"")),""))</f>
        <v/>
      </c>
      <c r="Y406" s="1" t="str">
        <f aca="false">IF(A406="","",IF(D406="Indicação",SUMPRODUCT(($D$2:D406="Indicação")*($A$2:A406&lt;&gt;"")),""))</f>
        <v/>
      </c>
      <c r="Z406" s="1" t="str">
        <f aca="false">IF(Y406="","","Indicacao|"&amp;Y406)</f>
        <v/>
      </c>
      <c r="AA406" s="1" t="str">
        <f aca="false">IF(I406="","",TEXT(I406,"mm/yyyy"))</f>
        <v/>
      </c>
    </row>
    <row r="407" customFormat="false" ht="15.75" hidden="false" customHeight="true" outlineLevel="0" collapsed="false">
      <c r="G407" s="19"/>
      <c r="I407" s="19"/>
      <c r="P407" s="19"/>
      <c r="R407" s="9" t="str">
        <f aca="false">IF(N407="Sim","Fechado (Total)",IF(N407="Parcial","Fechado (Parcial)",IF(N407="Não","Perdido",IF(N407="Pendente","Pendente",IF(N407="Não precisa no momento","Não Precisa no Momento",IF(L407="Sim","Plano de Tratamento",IF(J407="Não","Não Compareceu",IF(J407="Sim","Compareceu",IF(H407="Não","Perdido",IF(H407="Sim","Consulta Marcada",IF(A407="","","Novo Paciente")))))))))))</f>
        <v/>
      </c>
      <c r="T407" s="1" t="str">
        <f aca="false">IF(A407="","",SUMPRODUCT(($R$2:R407=R407)*($A$2:A407&lt;&gt;"")))</f>
        <v/>
      </c>
      <c r="U407" s="1" t="str">
        <f aca="false">IF(A407="","",R407&amp;"|"&amp;T407)</f>
        <v/>
      </c>
      <c r="V407" s="1" t="str">
        <f aca="false">IF(G407="","",TEXT(G407,"mm/yyyy"))</f>
        <v/>
      </c>
      <c r="W407" s="1" t="str">
        <f aca="false">IF(P407="","",TEXT(P407,"mm/yyyy"))</f>
        <v/>
      </c>
      <c r="X407" s="1" t="str">
        <f aca="false">IF(A407="","",IF(OR(R407="Fechado (Total)",R407="Fechado (Parcial)"),"Fechado|"&amp;SUMPRODUCT((($R$2:R407="Fechado (Total)")+($R$2:R407="Fechado (Parcial)"))*($A$2:A407&lt;&gt;"")),""))</f>
        <v/>
      </c>
      <c r="Y407" s="1" t="str">
        <f aca="false">IF(A407="","",IF(D407="Indicação",SUMPRODUCT(($D$2:D407="Indicação")*($A$2:A407&lt;&gt;"")),""))</f>
        <v/>
      </c>
      <c r="Z407" s="1" t="str">
        <f aca="false">IF(Y407="","","Indicacao|"&amp;Y407)</f>
        <v/>
      </c>
      <c r="AA407" s="1" t="str">
        <f aca="false">IF(I407="","",TEXT(I407,"mm/yyyy"))</f>
        <v/>
      </c>
    </row>
    <row r="408" customFormat="false" ht="15.75" hidden="false" customHeight="true" outlineLevel="0" collapsed="false">
      <c r="G408" s="19"/>
      <c r="I408" s="19"/>
      <c r="P408" s="19"/>
      <c r="R408" s="9" t="str">
        <f aca="false">IF(N408="Sim","Fechado (Total)",IF(N408="Parcial","Fechado (Parcial)",IF(N408="Não","Perdido",IF(N408="Pendente","Pendente",IF(N408="Não precisa no momento","Não Precisa no Momento",IF(L408="Sim","Plano de Tratamento",IF(J408="Não","Não Compareceu",IF(J408="Sim","Compareceu",IF(H408="Não","Perdido",IF(H408="Sim","Consulta Marcada",IF(A408="","","Novo Paciente")))))))))))</f>
        <v/>
      </c>
      <c r="T408" s="1" t="str">
        <f aca="false">IF(A408="","",SUMPRODUCT(($R$2:R408=R408)*($A$2:A408&lt;&gt;"")))</f>
        <v/>
      </c>
      <c r="U408" s="1" t="str">
        <f aca="false">IF(A408="","",R408&amp;"|"&amp;T408)</f>
        <v/>
      </c>
      <c r="V408" s="1" t="str">
        <f aca="false">IF(G408="","",TEXT(G408,"mm/yyyy"))</f>
        <v/>
      </c>
      <c r="W408" s="1" t="str">
        <f aca="false">IF(P408="","",TEXT(P408,"mm/yyyy"))</f>
        <v/>
      </c>
      <c r="X408" s="1" t="str">
        <f aca="false">IF(A408="","",IF(OR(R408="Fechado (Total)",R408="Fechado (Parcial)"),"Fechado|"&amp;SUMPRODUCT((($R$2:R408="Fechado (Total)")+($R$2:R408="Fechado (Parcial)"))*($A$2:A408&lt;&gt;"")),""))</f>
        <v/>
      </c>
      <c r="Y408" s="1" t="str">
        <f aca="false">IF(A408="","",IF(D408="Indicação",SUMPRODUCT(($D$2:D408="Indicação")*($A$2:A408&lt;&gt;"")),""))</f>
        <v/>
      </c>
      <c r="Z408" s="1" t="str">
        <f aca="false">IF(Y408="","","Indicacao|"&amp;Y408)</f>
        <v/>
      </c>
      <c r="AA408" s="1" t="str">
        <f aca="false">IF(I408="","",TEXT(I408,"mm/yyyy"))</f>
        <v/>
      </c>
    </row>
    <row r="409" customFormat="false" ht="15.75" hidden="false" customHeight="true" outlineLevel="0" collapsed="false">
      <c r="G409" s="19"/>
      <c r="I409" s="19"/>
      <c r="P409" s="19"/>
      <c r="R409" s="9" t="str">
        <f aca="false">IF(N409="Sim","Fechado (Total)",IF(N409="Parcial","Fechado (Parcial)",IF(N409="Não","Perdido",IF(N409="Pendente","Pendente",IF(N409="Não precisa no momento","Não Precisa no Momento",IF(L409="Sim","Plano de Tratamento",IF(J409="Não","Não Compareceu",IF(J409="Sim","Compareceu",IF(H409="Não","Perdido",IF(H409="Sim","Consulta Marcada",IF(A409="","","Novo Paciente")))))))))))</f>
        <v/>
      </c>
      <c r="T409" s="1" t="str">
        <f aca="false">IF(A409="","",SUMPRODUCT(($R$2:R409=R409)*($A$2:A409&lt;&gt;"")))</f>
        <v/>
      </c>
      <c r="U409" s="1" t="str">
        <f aca="false">IF(A409="","",R409&amp;"|"&amp;T409)</f>
        <v/>
      </c>
      <c r="V409" s="1" t="str">
        <f aca="false">IF(G409="","",TEXT(G409,"mm/yyyy"))</f>
        <v/>
      </c>
      <c r="W409" s="1" t="str">
        <f aca="false">IF(P409="","",TEXT(P409,"mm/yyyy"))</f>
        <v/>
      </c>
      <c r="X409" s="1" t="str">
        <f aca="false">IF(A409="","",IF(OR(R409="Fechado (Total)",R409="Fechado (Parcial)"),"Fechado|"&amp;SUMPRODUCT((($R$2:R409="Fechado (Total)")+($R$2:R409="Fechado (Parcial)"))*($A$2:A409&lt;&gt;"")),""))</f>
        <v/>
      </c>
      <c r="Y409" s="1" t="str">
        <f aca="false">IF(A409="","",IF(D409="Indicação",SUMPRODUCT(($D$2:D409="Indicação")*($A$2:A409&lt;&gt;"")),""))</f>
        <v/>
      </c>
      <c r="Z409" s="1" t="str">
        <f aca="false">IF(Y409="","","Indicacao|"&amp;Y409)</f>
        <v/>
      </c>
      <c r="AA409" s="1" t="str">
        <f aca="false">IF(I409="","",TEXT(I409,"mm/yyyy"))</f>
        <v/>
      </c>
    </row>
    <row r="410" customFormat="false" ht="15.75" hidden="false" customHeight="true" outlineLevel="0" collapsed="false">
      <c r="G410" s="19"/>
      <c r="I410" s="19"/>
      <c r="P410" s="19"/>
      <c r="R410" s="9" t="str">
        <f aca="false">IF(N410="Sim","Fechado (Total)",IF(N410="Parcial","Fechado (Parcial)",IF(N410="Não","Perdido",IF(N410="Pendente","Pendente",IF(N410="Não precisa no momento","Não Precisa no Momento",IF(L410="Sim","Plano de Tratamento",IF(J410="Não","Não Compareceu",IF(J410="Sim","Compareceu",IF(H410="Não","Perdido",IF(H410="Sim","Consulta Marcada",IF(A410="","","Novo Paciente")))))))))))</f>
        <v/>
      </c>
      <c r="T410" s="1" t="str">
        <f aca="false">IF(A410="","",SUMPRODUCT(($R$2:R410=R410)*($A$2:A410&lt;&gt;"")))</f>
        <v/>
      </c>
      <c r="U410" s="1" t="str">
        <f aca="false">IF(A410="","",R410&amp;"|"&amp;T410)</f>
        <v/>
      </c>
      <c r="V410" s="1" t="str">
        <f aca="false">IF(G410="","",TEXT(G410,"mm/yyyy"))</f>
        <v/>
      </c>
      <c r="W410" s="1" t="str">
        <f aca="false">IF(P410="","",TEXT(P410,"mm/yyyy"))</f>
        <v/>
      </c>
      <c r="X410" s="1" t="str">
        <f aca="false">IF(A410="","",IF(OR(R410="Fechado (Total)",R410="Fechado (Parcial)"),"Fechado|"&amp;SUMPRODUCT((($R$2:R410="Fechado (Total)")+($R$2:R410="Fechado (Parcial)"))*($A$2:A410&lt;&gt;"")),""))</f>
        <v/>
      </c>
      <c r="Y410" s="1" t="str">
        <f aca="false">IF(A410="","",IF(D410="Indicação",SUMPRODUCT(($D$2:D410="Indicação")*($A$2:A410&lt;&gt;"")),""))</f>
        <v/>
      </c>
      <c r="Z410" s="1" t="str">
        <f aca="false">IF(Y410="","","Indicacao|"&amp;Y410)</f>
        <v/>
      </c>
      <c r="AA410" s="1" t="str">
        <f aca="false">IF(I410="","",TEXT(I410,"mm/yyyy"))</f>
        <v/>
      </c>
    </row>
    <row r="411" customFormat="false" ht="15.75" hidden="false" customHeight="true" outlineLevel="0" collapsed="false">
      <c r="G411" s="19"/>
      <c r="I411" s="19"/>
      <c r="P411" s="19"/>
      <c r="R411" s="9" t="str">
        <f aca="false">IF(N411="Sim","Fechado (Total)",IF(N411="Parcial","Fechado (Parcial)",IF(N411="Não","Perdido",IF(N411="Pendente","Pendente",IF(N411="Não precisa no momento","Não Precisa no Momento",IF(L411="Sim","Plano de Tratamento",IF(J411="Não","Não Compareceu",IF(J411="Sim","Compareceu",IF(H411="Não","Perdido",IF(H411="Sim","Consulta Marcada",IF(A411="","","Novo Paciente")))))))))))</f>
        <v/>
      </c>
      <c r="T411" s="1" t="str">
        <f aca="false">IF(A411="","",SUMPRODUCT(($R$2:R411=R411)*($A$2:A411&lt;&gt;"")))</f>
        <v/>
      </c>
      <c r="U411" s="1" t="str">
        <f aca="false">IF(A411="","",R411&amp;"|"&amp;T411)</f>
        <v/>
      </c>
      <c r="V411" s="1" t="str">
        <f aca="false">IF(G411="","",TEXT(G411,"mm/yyyy"))</f>
        <v/>
      </c>
      <c r="W411" s="1" t="str">
        <f aca="false">IF(P411="","",TEXT(P411,"mm/yyyy"))</f>
        <v/>
      </c>
      <c r="X411" s="1" t="str">
        <f aca="false">IF(A411="","",IF(OR(R411="Fechado (Total)",R411="Fechado (Parcial)"),"Fechado|"&amp;SUMPRODUCT((($R$2:R411="Fechado (Total)")+($R$2:R411="Fechado (Parcial)"))*($A$2:A411&lt;&gt;"")),""))</f>
        <v/>
      </c>
      <c r="Y411" s="1" t="str">
        <f aca="false">IF(A411="","",IF(D411="Indicação",SUMPRODUCT(($D$2:D411="Indicação")*($A$2:A411&lt;&gt;"")),""))</f>
        <v/>
      </c>
      <c r="Z411" s="1" t="str">
        <f aca="false">IF(Y411="","","Indicacao|"&amp;Y411)</f>
        <v/>
      </c>
      <c r="AA411" s="1" t="str">
        <f aca="false">IF(I411="","",TEXT(I411,"mm/yyyy"))</f>
        <v/>
      </c>
    </row>
    <row r="412" customFormat="false" ht="15.75" hidden="false" customHeight="true" outlineLevel="0" collapsed="false">
      <c r="G412" s="19"/>
      <c r="I412" s="19"/>
      <c r="P412" s="19"/>
      <c r="R412" s="9" t="str">
        <f aca="false">IF(N412="Sim","Fechado (Total)",IF(N412="Parcial","Fechado (Parcial)",IF(N412="Não","Perdido",IF(N412="Pendente","Pendente",IF(N412="Não precisa no momento","Não Precisa no Momento",IF(L412="Sim","Plano de Tratamento",IF(J412="Não","Não Compareceu",IF(J412="Sim","Compareceu",IF(H412="Não","Perdido",IF(H412="Sim","Consulta Marcada",IF(A412="","","Novo Paciente")))))))))))</f>
        <v/>
      </c>
      <c r="T412" s="1" t="str">
        <f aca="false">IF(A412="","",SUMPRODUCT(($R$2:R412=R412)*($A$2:A412&lt;&gt;"")))</f>
        <v/>
      </c>
      <c r="U412" s="1" t="str">
        <f aca="false">IF(A412="","",R412&amp;"|"&amp;T412)</f>
        <v/>
      </c>
      <c r="V412" s="1" t="str">
        <f aca="false">IF(G412="","",TEXT(G412,"mm/yyyy"))</f>
        <v/>
      </c>
      <c r="W412" s="1" t="str">
        <f aca="false">IF(P412="","",TEXT(P412,"mm/yyyy"))</f>
        <v/>
      </c>
      <c r="X412" s="1" t="str">
        <f aca="false">IF(A412="","",IF(OR(R412="Fechado (Total)",R412="Fechado (Parcial)"),"Fechado|"&amp;SUMPRODUCT((($R$2:R412="Fechado (Total)")+($R$2:R412="Fechado (Parcial)"))*($A$2:A412&lt;&gt;"")),""))</f>
        <v/>
      </c>
      <c r="Y412" s="1" t="str">
        <f aca="false">IF(A412="","",IF(D412="Indicação",SUMPRODUCT(($D$2:D412="Indicação")*($A$2:A412&lt;&gt;"")),""))</f>
        <v/>
      </c>
      <c r="Z412" s="1" t="str">
        <f aca="false">IF(Y412="","","Indicacao|"&amp;Y412)</f>
        <v/>
      </c>
      <c r="AA412" s="1" t="str">
        <f aca="false">IF(I412="","",TEXT(I412,"mm/yyyy"))</f>
        <v/>
      </c>
    </row>
    <row r="413" customFormat="false" ht="15.75" hidden="false" customHeight="true" outlineLevel="0" collapsed="false">
      <c r="G413" s="19"/>
      <c r="I413" s="19"/>
      <c r="P413" s="19"/>
      <c r="R413" s="9" t="str">
        <f aca="false">IF(N413="Sim","Fechado (Total)",IF(N413="Parcial","Fechado (Parcial)",IF(N413="Não","Perdido",IF(N413="Pendente","Pendente",IF(N413="Não precisa no momento","Não Precisa no Momento",IF(L413="Sim","Plano de Tratamento",IF(J413="Não","Não Compareceu",IF(J413="Sim","Compareceu",IF(H413="Não","Perdido",IF(H413="Sim","Consulta Marcada",IF(A413="","","Novo Paciente")))))))))))</f>
        <v/>
      </c>
      <c r="T413" s="1" t="str">
        <f aca="false">IF(A413="","",SUMPRODUCT(($R$2:R413=R413)*($A$2:A413&lt;&gt;"")))</f>
        <v/>
      </c>
      <c r="U413" s="1" t="str">
        <f aca="false">IF(A413="","",R413&amp;"|"&amp;T413)</f>
        <v/>
      </c>
      <c r="V413" s="1" t="str">
        <f aca="false">IF(G413="","",TEXT(G413,"mm/yyyy"))</f>
        <v/>
      </c>
      <c r="W413" s="1" t="str">
        <f aca="false">IF(P413="","",TEXT(P413,"mm/yyyy"))</f>
        <v/>
      </c>
      <c r="X413" s="1" t="str">
        <f aca="false">IF(A413="","",IF(OR(R413="Fechado (Total)",R413="Fechado (Parcial)"),"Fechado|"&amp;SUMPRODUCT((($R$2:R413="Fechado (Total)")+($R$2:R413="Fechado (Parcial)"))*($A$2:A413&lt;&gt;"")),""))</f>
        <v/>
      </c>
      <c r="Y413" s="1" t="str">
        <f aca="false">IF(A413="","",IF(D413="Indicação",SUMPRODUCT(($D$2:D413="Indicação")*($A$2:A413&lt;&gt;"")),""))</f>
        <v/>
      </c>
      <c r="Z413" s="1" t="str">
        <f aca="false">IF(Y413="","","Indicacao|"&amp;Y413)</f>
        <v/>
      </c>
      <c r="AA413" s="1" t="str">
        <f aca="false">IF(I413="","",TEXT(I413,"mm/yyyy"))</f>
        <v/>
      </c>
    </row>
    <row r="414" customFormat="false" ht="15.75" hidden="false" customHeight="true" outlineLevel="0" collapsed="false">
      <c r="G414" s="19"/>
      <c r="I414" s="19"/>
      <c r="P414" s="19"/>
      <c r="R414" s="9" t="str">
        <f aca="false">IF(N414="Sim","Fechado (Total)",IF(N414="Parcial","Fechado (Parcial)",IF(N414="Não","Perdido",IF(N414="Pendente","Pendente",IF(N414="Não precisa no momento","Não Precisa no Momento",IF(L414="Sim","Plano de Tratamento",IF(J414="Não","Não Compareceu",IF(J414="Sim","Compareceu",IF(H414="Não","Perdido",IF(H414="Sim","Consulta Marcada",IF(A414="","","Novo Paciente")))))))))))</f>
        <v/>
      </c>
      <c r="T414" s="1" t="str">
        <f aca="false">IF(A414="","",SUMPRODUCT(($R$2:R414=R414)*($A$2:A414&lt;&gt;"")))</f>
        <v/>
      </c>
      <c r="U414" s="1" t="str">
        <f aca="false">IF(A414="","",R414&amp;"|"&amp;T414)</f>
        <v/>
      </c>
      <c r="V414" s="1" t="str">
        <f aca="false">IF(G414="","",TEXT(G414,"mm/yyyy"))</f>
        <v/>
      </c>
      <c r="W414" s="1" t="str">
        <f aca="false">IF(P414="","",TEXT(P414,"mm/yyyy"))</f>
        <v/>
      </c>
      <c r="X414" s="1" t="str">
        <f aca="false">IF(A414="","",IF(OR(R414="Fechado (Total)",R414="Fechado (Parcial)"),"Fechado|"&amp;SUMPRODUCT((($R$2:R414="Fechado (Total)")+($R$2:R414="Fechado (Parcial)"))*($A$2:A414&lt;&gt;"")),""))</f>
        <v/>
      </c>
      <c r="Y414" s="1" t="str">
        <f aca="false">IF(A414="","",IF(D414="Indicação",SUMPRODUCT(($D$2:D414="Indicação")*($A$2:A414&lt;&gt;"")),""))</f>
        <v/>
      </c>
      <c r="Z414" s="1" t="str">
        <f aca="false">IF(Y414="","","Indicacao|"&amp;Y414)</f>
        <v/>
      </c>
      <c r="AA414" s="1" t="str">
        <f aca="false">IF(I414="","",TEXT(I414,"mm/yyyy"))</f>
        <v/>
      </c>
    </row>
    <row r="415" customFormat="false" ht="15.75" hidden="false" customHeight="true" outlineLevel="0" collapsed="false">
      <c r="G415" s="19"/>
      <c r="I415" s="19"/>
      <c r="P415" s="19"/>
      <c r="R415" s="9" t="str">
        <f aca="false">IF(N415="Sim","Fechado (Total)",IF(N415="Parcial","Fechado (Parcial)",IF(N415="Não","Perdido",IF(N415="Pendente","Pendente",IF(N415="Não precisa no momento","Não Precisa no Momento",IF(L415="Sim","Plano de Tratamento",IF(J415="Não","Não Compareceu",IF(J415="Sim","Compareceu",IF(H415="Não","Perdido",IF(H415="Sim","Consulta Marcada",IF(A415="","","Novo Paciente")))))))))))</f>
        <v/>
      </c>
      <c r="T415" s="1" t="str">
        <f aca="false">IF(A415="","",SUMPRODUCT(($R$2:R415=R415)*($A$2:A415&lt;&gt;"")))</f>
        <v/>
      </c>
      <c r="U415" s="1" t="str">
        <f aca="false">IF(A415="","",R415&amp;"|"&amp;T415)</f>
        <v/>
      </c>
      <c r="V415" s="1" t="str">
        <f aca="false">IF(G415="","",TEXT(G415,"mm/yyyy"))</f>
        <v/>
      </c>
      <c r="W415" s="1" t="str">
        <f aca="false">IF(P415="","",TEXT(P415,"mm/yyyy"))</f>
        <v/>
      </c>
      <c r="X415" s="1" t="str">
        <f aca="false">IF(A415="","",IF(OR(R415="Fechado (Total)",R415="Fechado (Parcial)"),"Fechado|"&amp;SUMPRODUCT((($R$2:R415="Fechado (Total)")+($R$2:R415="Fechado (Parcial)"))*($A$2:A415&lt;&gt;"")),""))</f>
        <v/>
      </c>
      <c r="Y415" s="1" t="str">
        <f aca="false">IF(A415="","",IF(D415="Indicação",SUMPRODUCT(($D$2:D415="Indicação")*($A$2:A415&lt;&gt;"")),""))</f>
        <v/>
      </c>
      <c r="Z415" s="1" t="str">
        <f aca="false">IF(Y415="","","Indicacao|"&amp;Y415)</f>
        <v/>
      </c>
      <c r="AA415" s="1" t="str">
        <f aca="false">IF(I415="","",TEXT(I415,"mm/yyyy"))</f>
        <v/>
      </c>
    </row>
    <row r="416" customFormat="false" ht="15.75" hidden="false" customHeight="true" outlineLevel="0" collapsed="false">
      <c r="G416" s="19"/>
      <c r="I416" s="19"/>
      <c r="P416" s="19"/>
      <c r="R416" s="9" t="str">
        <f aca="false">IF(N416="Sim","Fechado (Total)",IF(N416="Parcial","Fechado (Parcial)",IF(N416="Não","Perdido",IF(N416="Pendente","Pendente",IF(N416="Não precisa no momento","Não Precisa no Momento",IF(L416="Sim","Plano de Tratamento",IF(J416="Não","Não Compareceu",IF(J416="Sim","Compareceu",IF(H416="Não","Perdido",IF(H416="Sim","Consulta Marcada",IF(A416="","","Novo Paciente")))))))))))</f>
        <v/>
      </c>
      <c r="T416" s="1" t="str">
        <f aca="false">IF(A416="","",SUMPRODUCT(($R$2:R416=R416)*($A$2:A416&lt;&gt;"")))</f>
        <v/>
      </c>
      <c r="U416" s="1" t="str">
        <f aca="false">IF(A416="","",R416&amp;"|"&amp;T416)</f>
        <v/>
      </c>
      <c r="V416" s="1" t="str">
        <f aca="false">IF(G416="","",TEXT(G416,"mm/yyyy"))</f>
        <v/>
      </c>
      <c r="W416" s="1" t="str">
        <f aca="false">IF(P416="","",TEXT(P416,"mm/yyyy"))</f>
        <v/>
      </c>
      <c r="X416" s="1" t="str">
        <f aca="false">IF(A416="","",IF(OR(R416="Fechado (Total)",R416="Fechado (Parcial)"),"Fechado|"&amp;SUMPRODUCT((($R$2:R416="Fechado (Total)")+($R$2:R416="Fechado (Parcial)"))*($A$2:A416&lt;&gt;"")),""))</f>
        <v/>
      </c>
      <c r="Y416" s="1" t="str">
        <f aca="false">IF(A416="","",IF(D416="Indicação",SUMPRODUCT(($D$2:D416="Indicação")*($A$2:A416&lt;&gt;"")),""))</f>
        <v/>
      </c>
      <c r="Z416" s="1" t="str">
        <f aca="false">IF(Y416="","","Indicacao|"&amp;Y416)</f>
        <v/>
      </c>
      <c r="AA416" s="1" t="str">
        <f aca="false">IF(I416="","",TEXT(I416,"mm/yyyy"))</f>
        <v/>
      </c>
    </row>
    <row r="417" customFormat="false" ht="15.75" hidden="false" customHeight="true" outlineLevel="0" collapsed="false">
      <c r="G417" s="19"/>
      <c r="I417" s="19"/>
      <c r="P417" s="19"/>
      <c r="R417" s="9" t="str">
        <f aca="false">IF(N417="Sim","Fechado (Total)",IF(N417="Parcial","Fechado (Parcial)",IF(N417="Não","Perdido",IF(N417="Pendente","Pendente",IF(N417="Não precisa no momento","Não Precisa no Momento",IF(L417="Sim","Plano de Tratamento",IF(J417="Não","Não Compareceu",IF(J417="Sim","Compareceu",IF(H417="Não","Perdido",IF(H417="Sim","Consulta Marcada",IF(A417="","","Novo Paciente")))))))))))</f>
        <v/>
      </c>
      <c r="T417" s="1" t="str">
        <f aca="false">IF(A417="","",SUMPRODUCT(($R$2:R417=R417)*($A$2:A417&lt;&gt;"")))</f>
        <v/>
      </c>
      <c r="U417" s="1" t="str">
        <f aca="false">IF(A417="","",R417&amp;"|"&amp;T417)</f>
        <v/>
      </c>
      <c r="V417" s="1" t="str">
        <f aca="false">IF(G417="","",TEXT(G417,"mm/yyyy"))</f>
        <v/>
      </c>
      <c r="W417" s="1" t="str">
        <f aca="false">IF(P417="","",TEXT(P417,"mm/yyyy"))</f>
        <v/>
      </c>
      <c r="X417" s="1" t="str">
        <f aca="false">IF(A417="","",IF(OR(R417="Fechado (Total)",R417="Fechado (Parcial)"),"Fechado|"&amp;SUMPRODUCT((($R$2:R417="Fechado (Total)")+($R$2:R417="Fechado (Parcial)"))*($A$2:A417&lt;&gt;"")),""))</f>
        <v/>
      </c>
      <c r="Y417" s="1" t="str">
        <f aca="false">IF(A417="","",IF(D417="Indicação",SUMPRODUCT(($D$2:D417="Indicação")*($A$2:A417&lt;&gt;"")),""))</f>
        <v/>
      </c>
      <c r="Z417" s="1" t="str">
        <f aca="false">IF(Y417="","","Indicacao|"&amp;Y417)</f>
        <v/>
      </c>
      <c r="AA417" s="1" t="str">
        <f aca="false">IF(I417="","",TEXT(I417,"mm/yyyy"))</f>
        <v/>
      </c>
    </row>
    <row r="418" customFormat="false" ht="15.75" hidden="false" customHeight="true" outlineLevel="0" collapsed="false">
      <c r="G418" s="19"/>
      <c r="I418" s="19"/>
      <c r="P418" s="19"/>
      <c r="R418" s="9" t="str">
        <f aca="false">IF(N418="Sim","Fechado (Total)",IF(N418="Parcial","Fechado (Parcial)",IF(N418="Não","Perdido",IF(N418="Pendente","Pendente",IF(N418="Não precisa no momento","Não Precisa no Momento",IF(L418="Sim","Plano de Tratamento",IF(J418="Não","Não Compareceu",IF(J418="Sim","Compareceu",IF(H418="Não","Perdido",IF(H418="Sim","Consulta Marcada",IF(A418="","","Novo Paciente")))))))))))</f>
        <v/>
      </c>
      <c r="T418" s="1" t="str">
        <f aca="false">IF(A418="","",SUMPRODUCT(($R$2:R418=R418)*($A$2:A418&lt;&gt;"")))</f>
        <v/>
      </c>
      <c r="U418" s="1" t="str">
        <f aca="false">IF(A418="","",R418&amp;"|"&amp;T418)</f>
        <v/>
      </c>
      <c r="V418" s="1" t="str">
        <f aca="false">IF(G418="","",TEXT(G418,"mm/yyyy"))</f>
        <v/>
      </c>
      <c r="W418" s="1" t="str">
        <f aca="false">IF(P418="","",TEXT(P418,"mm/yyyy"))</f>
        <v/>
      </c>
      <c r="X418" s="1" t="str">
        <f aca="false">IF(A418="","",IF(OR(R418="Fechado (Total)",R418="Fechado (Parcial)"),"Fechado|"&amp;SUMPRODUCT((($R$2:R418="Fechado (Total)")+($R$2:R418="Fechado (Parcial)"))*($A$2:A418&lt;&gt;"")),""))</f>
        <v/>
      </c>
      <c r="Y418" s="1" t="str">
        <f aca="false">IF(A418="","",IF(D418="Indicação",SUMPRODUCT(($D$2:D418="Indicação")*($A$2:A418&lt;&gt;"")),""))</f>
        <v/>
      </c>
      <c r="Z418" s="1" t="str">
        <f aca="false">IF(Y418="","","Indicacao|"&amp;Y418)</f>
        <v/>
      </c>
      <c r="AA418" s="1" t="str">
        <f aca="false">IF(I418="","",TEXT(I418,"mm/yyyy"))</f>
        <v/>
      </c>
    </row>
    <row r="419" customFormat="false" ht="15.75" hidden="false" customHeight="true" outlineLevel="0" collapsed="false">
      <c r="G419" s="19"/>
      <c r="I419" s="19"/>
      <c r="P419" s="19"/>
      <c r="R419" s="9" t="str">
        <f aca="false">IF(N419="Sim","Fechado (Total)",IF(N419="Parcial","Fechado (Parcial)",IF(N419="Não","Perdido",IF(N419="Pendente","Pendente",IF(N419="Não precisa no momento","Não Precisa no Momento",IF(L419="Sim","Plano de Tratamento",IF(J419="Não","Não Compareceu",IF(J419="Sim","Compareceu",IF(H419="Não","Perdido",IF(H419="Sim","Consulta Marcada",IF(A419="","","Novo Paciente")))))))))))</f>
        <v/>
      </c>
      <c r="T419" s="1" t="str">
        <f aca="false">IF(A419="","",SUMPRODUCT(($R$2:R419=R419)*($A$2:A419&lt;&gt;"")))</f>
        <v/>
      </c>
      <c r="U419" s="1" t="str">
        <f aca="false">IF(A419="","",R419&amp;"|"&amp;T419)</f>
        <v/>
      </c>
      <c r="V419" s="1" t="str">
        <f aca="false">IF(G419="","",TEXT(G419,"mm/yyyy"))</f>
        <v/>
      </c>
      <c r="W419" s="1" t="str">
        <f aca="false">IF(P419="","",TEXT(P419,"mm/yyyy"))</f>
        <v/>
      </c>
      <c r="X419" s="1" t="str">
        <f aca="false">IF(A419="","",IF(OR(R419="Fechado (Total)",R419="Fechado (Parcial)"),"Fechado|"&amp;SUMPRODUCT((($R$2:R419="Fechado (Total)")+($R$2:R419="Fechado (Parcial)"))*($A$2:A419&lt;&gt;"")),""))</f>
        <v/>
      </c>
      <c r="Y419" s="1" t="str">
        <f aca="false">IF(A419="","",IF(D419="Indicação",SUMPRODUCT(($D$2:D419="Indicação")*($A$2:A419&lt;&gt;"")),""))</f>
        <v/>
      </c>
      <c r="Z419" s="1" t="str">
        <f aca="false">IF(Y419="","","Indicacao|"&amp;Y419)</f>
        <v/>
      </c>
      <c r="AA419" s="1" t="str">
        <f aca="false">IF(I419="","",TEXT(I419,"mm/yyyy"))</f>
        <v/>
      </c>
    </row>
    <row r="420" customFormat="false" ht="15.75" hidden="false" customHeight="true" outlineLevel="0" collapsed="false">
      <c r="G420" s="19"/>
      <c r="I420" s="19"/>
      <c r="P420" s="19"/>
      <c r="R420" s="9" t="str">
        <f aca="false">IF(N420="Sim","Fechado (Total)",IF(N420="Parcial","Fechado (Parcial)",IF(N420="Não","Perdido",IF(N420="Pendente","Pendente",IF(N420="Não precisa no momento","Não Precisa no Momento",IF(L420="Sim","Plano de Tratamento",IF(J420="Não","Não Compareceu",IF(J420="Sim","Compareceu",IF(H420="Não","Perdido",IF(H420="Sim","Consulta Marcada",IF(A420="","","Novo Paciente")))))))))))</f>
        <v/>
      </c>
      <c r="T420" s="1" t="str">
        <f aca="false">IF(A420="","",SUMPRODUCT(($R$2:R420=R420)*($A$2:A420&lt;&gt;"")))</f>
        <v/>
      </c>
      <c r="U420" s="1" t="str">
        <f aca="false">IF(A420="","",R420&amp;"|"&amp;T420)</f>
        <v/>
      </c>
      <c r="V420" s="1" t="str">
        <f aca="false">IF(G420="","",TEXT(G420,"mm/yyyy"))</f>
        <v/>
      </c>
      <c r="W420" s="1" t="str">
        <f aca="false">IF(P420="","",TEXT(P420,"mm/yyyy"))</f>
        <v/>
      </c>
      <c r="X420" s="1" t="str">
        <f aca="false">IF(A420="","",IF(OR(R420="Fechado (Total)",R420="Fechado (Parcial)"),"Fechado|"&amp;SUMPRODUCT((($R$2:R420="Fechado (Total)")+($R$2:R420="Fechado (Parcial)"))*($A$2:A420&lt;&gt;"")),""))</f>
        <v/>
      </c>
      <c r="Y420" s="1" t="str">
        <f aca="false">IF(A420="","",IF(D420="Indicação",SUMPRODUCT(($D$2:D420="Indicação")*($A$2:A420&lt;&gt;"")),""))</f>
        <v/>
      </c>
      <c r="Z420" s="1" t="str">
        <f aca="false">IF(Y420="","","Indicacao|"&amp;Y420)</f>
        <v/>
      </c>
      <c r="AA420" s="1" t="str">
        <f aca="false">IF(I420="","",TEXT(I420,"mm/yyyy"))</f>
        <v/>
      </c>
    </row>
    <row r="421" customFormat="false" ht="15.75" hidden="false" customHeight="true" outlineLevel="0" collapsed="false">
      <c r="G421" s="19"/>
      <c r="I421" s="19"/>
      <c r="P421" s="19"/>
      <c r="R421" s="9" t="str">
        <f aca="false">IF(N421="Sim","Fechado (Total)",IF(N421="Parcial","Fechado (Parcial)",IF(N421="Não","Perdido",IF(N421="Pendente","Pendente",IF(N421="Não precisa no momento","Não Precisa no Momento",IF(L421="Sim","Plano de Tratamento",IF(J421="Não","Não Compareceu",IF(J421="Sim","Compareceu",IF(H421="Não","Perdido",IF(H421="Sim","Consulta Marcada",IF(A421="","","Novo Paciente")))))))))))</f>
        <v/>
      </c>
      <c r="T421" s="1" t="str">
        <f aca="false">IF(A421="","",SUMPRODUCT(($R$2:R421=R421)*($A$2:A421&lt;&gt;"")))</f>
        <v/>
      </c>
      <c r="U421" s="1" t="str">
        <f aca="false">IF(A421="","",R421&amp;"|"&amp;T421)</f>
        <v/>
      </c>
      <c r="V421" s="1" t="str">
        <f aca="false">IF(G421="","",TEXT(G421,"mm/yyyy"))</f>
        <v/>
      </c>
      <c r="W421" s="1" t="str">
        <f aca="false">IF(P421="","",TEXT(P421,"mm/yyyy"))</f>
        <v/>
      </c>
      <c r="X421" s="1" t="str">
        <f aca="false">IF(A421="","",IF(OR(R421="Fechado (Total)",R421="Fechado (Parcial)"),"Fechado|"&amp;SUMPRODUCT((($R$2:R421="Fechado (Total)")+($R$2:R421="Fechado (Parcial)"))*($A$2:A421&lt;&gt;"")),""))</f>
        <v/>
      </c>
      <c r="Y421" s="1" t="str">
        <f aca="false">IF(A421="","",IF(D421="Indicação",SUMPRODUCT(($D$2:D421="Indicação")*($A$2:A421&lt;&gt;"")),""))</f>
        <v/>
      </c>
      <c r="Z421" s="1" t="str">
        <f aca="false">IF(Y421="","","Indicacao|"&amp;Y421)</f>
        <v/>
      </c>
      <c r="AA421" s="1" t="str">
        <f aca="false">IF(I421="","",TEXT(I421,"mm/yyyy"))</f>
        <v/>
      </c>
    </row>
    <row r="422" customFormat="false" ht="15.75" hidden="false" customHeight="true" outlineLevel="0" collapsed="false">
      <c r="G422" s="19"/>
      <c r="I422" s="19"/>
      <c r="P422" s="19"/>
      <c r="R422" s="9" t="str">
        <f aca="false">IF(N422="Sim","Fechado (Total)",IF(N422="Parcial","Fechado (Parcial)",IF(N422="Não","Perdido",IF(N422="Pendente","Pendente",IF(N422="Não precisa no momento","Não Precisa no Momento",IF(L422="Sim","Plano de Tratamento",IF(J422="Não","Não Compareceu",IF(J422="Sim","Compareceu",IF(H422="Não","Perdido",IF(H422="Sim","Consulta Marcada",IF(A422="","","Novo Paciente")))))))))))</f>
        <v/>
      </c>
      <c r="T422" s="1" t="str">
        <f aca="false">IF(A422="","",SUMPRODUCT(($R$2:R422=R422)*($A$2:A422&lt;&gt;"")))</f>
        <v/>
      </c>
      <c r="U422" s="1" t="str">
        <f aca="false">IF(A422="","",R422&amp;"|"&amp;T422)</f>
        <v/>
      </c>
      <c r="V422" s="1" t="str">
        <f aca="false">IF(G422="","",TEXT(G422,"mm/yyyy"))</f>
        <v/>
      </c>
      <c r="W422" s="1" t="str">
        <f aca="false">IF(P422="","",TEXT(P422,"mm/yyyy"))</f>
        <v/>
      </c>
      <c r="X422" s="1" t="str">
        <f aca="false">IF(A422="","",IF(OR(R422="Fechado (Total)",R422="Fechado (Parcial)"),"Fechado|"&amp;SUMPRODUCT((($R$2:R422="Fechado (Total)")+($R$2:R422="Fechado (Parcial)"))*($A$2:A422&lt;&gt;"")),""))</f>
        <v/>
      </c>
      <c r="Y422" s="1" t="str">
        <f aca="false">IF(A422="","",IF(D422="Indicação",SUMPRODUCT(($D$2:D422="Indicação")*($A$2:A422&lt;&gt;"")),""))</f>
        <v/>
      </c>
      <c r="Z422" s="1" t="str">
        <f aca="false">IF(Y422="","","Indicacao|"&amp;Y422)</f>
        <v/>
      </c>
      <c r="AA422" s="1" t="str">
        <f aca="false">IF(I422="","",TEXT(I422,"mm/yyyy"))</f>
        <v/>
      </c>
    </row>
    <row r="423" customFormat="false" ht="15.75" hidden="false" customHeight="true" outlineLevel="0" collapsed="false">
      <c r="G423" s="19"/>
      <c r="I423" s="19"/>
      <c r="P423" s="19"/>
      <c r="R423" s="9" t="str">
        <f aca="false">IF(N423="Sim","Fechado (Total)",IF(N423="Parcial","Fechado (Parcial)",IF(N423="Não","Perdido",IF(N423="Pendente","Pendente",IF(N423="Não precisa no momento","Não Precisa no Momento",IF(L423="Sim","Plano de Tratamento",IF(J423="Não","Não Compareceu",IF(J423="Sim","Compareceu",IF(H423="Não","Perdido",IF(H423="Sim","Consulta Marcada",IF(A423="","","Novo Paciente")))))))))))</f>
        <v/>
      </c>
      <c r="T423" s="1" t="str">
        <f aca="false">IF(A423="","",SUMPRODUCT(($R$2:R423=R423)*($A$2:A423&lt;&gt;"")))</f>
        <v/>
      </c>
      <c r="U423" s="1" t="str">
        <f aca="false">IF(A423="","",R423&amp;"|"&amp;T423)</f>
        <v/>
      </c>
      <c r="V423" s="1" t="str">
        <f aca="false">IF(G423="","",TEXT(G423,"mm/yyyy"))</f>
        <v/>
      </c>
      <c r="W423" s="1" t="str">
        <f aca="false">IF(P423="","",TEXT(P423,"mm/yyyy"))</f>
        <v/>
      </c>
      <c r="X423" s="1" t="str">
        <f aca="false">IF(A423="","",IF(OR(R423="Fechado (Total)",R423="Fechado (Parcial)"),"Fechado|"&amp;SUMPRODUCT((($R$2:R423="Fechado (Total)")+($R$2:R423="Fechado (Parcial)"))*($A$2:A423&lt;&gt;"")),""))</f>
        <v/>
      </c>
      <c r="Y423" s="1" t="str">
        <f aca="false">IF(A423="","",IF(D423="Indicação",SUMPRODUCT(($D$2:D423="Indicação")*($A$2:A423&lt;&gt;"")),""))</f>
        <v/>
      </c>
      <c r="Z423" s="1" t="str">
        <f aca="false">IF(Y423="","","Indicacao|"&amp;Y423)</f>
        <v/>
      </c>
      <c r="AA423" s="1" t="str">
        <f aca="false">IF(I423="","",TEXT(I423,"mm/yyyy"))</f>
        <v/>
      </c>
    </row>
    <row r="424" customFormat="false" ht="15.75" hidden="false" customHeight="true" outlineLevel="0" collapsed="false">
      <c r="G424" s="19"/>
      <c r="I424" s="19"/>
      <c r="P424" s="19"/>
      <c r="R424" s="9" t="str">
        <f aca="false">IF(N424="Sim","Fechado (Total)",IF(N424="Parcial","Fechado (Parcial)",IF(N424="Não","Perdido",IF(N424="Pendente","Pendente",IF(N424="Não precisa no momento","Não Precisa no Momento",IF(L424="Sim","Plano de Tratamento",IF(J424="Não","Não Compareceu",IF(J424="Sim","Compareceu",IF(H424="Não","Perdido",IF(H424="Sim","Consulta Marcada",IF(A424="","","Novo Paciente")))))))))))</f>
        <v/>
      </c>
      <c r="T424" s="1" t="str">
        <f aca="false">IF(A424="","",SUMPRODUCT(($R$2:R424=R424)*($A$2:A424&lt;&gt;"")))</f>
        <v/>
      </c>
      <c r="U424" s="1" t="str">
        <f aca="false">IF(A424="","",R424&amp;"|"&amp;T424)</f>
        <v/>
      </c>
      <c r="V424" s="1" t="str">
        <f aca="false">IF(G424="","",TEXT(G424,"mm/yyyy"))</f>
        <v/>
      </c>
      <c r="W424" s="1" t="str">
        <f aca="false">IF(P424="","",TEXT(P424,"mm/yyyy"))</f>
        <v/>
      </c>
      <c r="X424" s="1" t="str">
        <f aca="false">IF(A424="","",IF(OR(R424="Fechado (Total)",R424="Fechado (Parcial)"),"Fechado|"&amp;SUMPRODUCT((($R$2:R424="Fechado (Total)")+($R$2:R424="Fechado (Parcial)"))*($A$2:A424&lt;&gt;"")),""))</f>
        <v/>
      </c>
      <c r="Y424" s="1" t="str">
        <f aca="false">IF(A424="","",IF(D424="Indicação",SUMPRODUCT(($D$2:D424="Indicação")*($A$2:A424&lt;&gt;"")),""))</f>
        <v/>
      </c>
      <c r="Z424" s="1" t="str">
        <f aca="false">IF(Y424="","","Indicacao|"&amp;Y424)</f>
        <v/>
      </c>
      <c r="AA424" s="1" t="str">
        <f aca="false">IF(I424="","",TEXT(I424,"mm/yyyy"))</f>
        <v/>
      </c>
    </row>
    <row r="425" customFormat="false" ht="15.75" hidden="false" customHeight="true" outlineLevel="0" collapsed="false">
      <c r="G425" s="19"/>
      <c r="I425" s="19"/>
      <c r="P425" s="19"/>
      <c r="R425" s="9" t="str">
        <f aca="false">IF(N425="Sim","Fechado (Total)",IF(N425="Parcial","Fechado (Parcial)",IF(N425="Não","Perdido",IF(N425="Pendente","Pendente",IF(N425="Não precisa no momento","Não Precisa no Momento",IF(L425="Sim","Plano de Tratamento",IF(J425="Não","Não Compareceu",IF(J425="Sim","Compareceu",IF(H425="Não","Perdido",IF(H425="Sim","Consulta Marcada",IF(A425="","","Novo Paciente")))))))))))</f>
        <v/>
      </c>
      <c r="T425" s="1" t="str">
        <f aca="false">IF(A425="","",SUMPRODUCT(($R$2:R425=R425)*($A$2:A425&lt;&gt;"")))</f>
        <v/>
      </c>
      <c r="U425" s="1" t="str">
        <f aca="false">IF(A425="","",R425&amp;"|"&amp;T425)</f>
        <v/>
      </c>
      <c r="V425" s="1" t="str">
        <f aca="false">IF(G425="","",TEXT(G425,"mm/yyyy"))</f>
        <v/>
      </c>
      <c r="W425" s="1" t="str">
        <f aca="false">IF(P425="","",TEXT(P425,"mm/yyyy"))</f>
        <v/>
      </c>
      <c r="X425" s="1" t="str">
        <f aca="false">IF(A425="","",IF(OR(R425="Fechado (Total)",R425="Fechado (Parcial)"),"Fechado|"&amp;SUMPRODUCT((($R$2:R425="Fechado (Total)")+($R$2:R425="Fechado (Parcial)"))*($A$2:A425&lt;&gt;"")),""))</f>
        <v/>
      </c>
      <c r="Y425" s="1" t="str">
        <f aca="false">IF(A425="","",IF(D425="Indicação",SUMPRODUCT(($D$2:D425="Indicação")*($A$2:A425&lt;&gt;"")),""))</f>
        <v/>
      </c>
      <c r="Z425" s="1" t="str">
        <f aca="false">IF(Y425="","","Indicacao|"&amp;Y425)</f>
        <v/>
      </c>
      <c r="AA425" s="1" t="str">
        <f aca="false">IF(I425="","",TEXT(I425,"mm/yyyy"))</f>
        <v/>
      </c>
    </row>
    <row r="426" customFormat="false" ht="15.75" hidden="false" customHeight="true" outlineLevel="0" collapsed="false">
      <c r="G426" s="19"/>
      <c r="I426" s="19"/>
      <c r="P426" s="19"/>
      <c r="R426" s="1" t="str">
        <f aca="false">IF(N426="Sim","Fechado (Total)",IF(N426="Parcial","Fechado (Parcial)",IF(N426="Não","Perdido",IF(N426="Pendente","Pendente",IF(N426="Não precisa no momento","Não Precisa no Momento",IF(L426="Sim","Plano de Tratamento",IF(J426="Não","Não Compareceu",IF(J426="Sim","Compareceu",IF(H426="Não","Perdido",IF(H426="Sim","Consulta Marcada",IF(A426="","","Novo Paciente")))))))))))</f>
        <v/>
      </c>
      <c r="T426" s="1" t="str">
        <f aca="false">IF(A426="","",SUMPRODUCT(($R$2:R426=R426)*($A$2:A426&lt;&gt;"")))</f>
        <v/>
      </c>
      <c r="U426" s="1" t="str">
        <f aca="false">IF(A426="","",R426&amp;"|"&amp;T426)</f>
        <v/>
      </c>
      <c r="V426" s="1" t="str">
        <f aca="false">IF(G426="","",TEXT(G426,"mm/yyyy"))</f>
        <v/>
      </c>
      <c r="W426" s="1" t="str">
        <f aca="false">IF(P426="","",TEXT(P426,"mm/yyyy"))</f>
        <v/>
      </c>
      <c r="X426" s="1" t="str">
        <f aca="false">IF(A426="","",IF(OR(R426="Fechado (Total)",R426="Fechado (Parcial)"),"Fechado|"&amp;SUMPRODUCT((($R$2:R426="Fechado (Total)")+($R$2:R426="Fechado (Parcial)"))*($A$2:A426&lt;&gt;"")),""))</f>
        <v/>
      </c>
      <c r="Y426" s="1" t="str">
        <f aca="false">IF(A426="","",IF(D426="Indicação",SUMPRODUCT(($D$2:D426="Indicação")*($A$2:A426&lt;&gt;"")),""))</f>
        <v/>
      </c>
      <c r="Z426" s="1" t="str">
        <f aca="false">IF(Y426="","","Indicacao|"&amp;Y426)</f>
        <v/>
      </c>
      <c r="AA426" s="1" t="str">
        <f aca="false">IF(I426="","",TEXT(I426,"mm/yyyy"))</f>
        <v/>
      </c>
    </row>
    <row r="427" customFormat="false" ht="15.75" hidden="false" customHeight="true" outlineLevel="0" collapsed="false">
      <c r="G427" s="19"/>
      <c r="I427" s="19"/>
      <c r="P427" s="19"/>
      <c r="R427" s="1" t="str">
        <f aca="false">IF(N427="Sim","Fechado (Total)",IF(N427="Parcial","Fechado (Parcial)",IF(N427="Não","Perdido",IF(N427="Pendente","Pendente",IF(N427="Não precisa no momento","Não Precisa no Momento",IF(L427="Sim","Plano de Tratamento",IF(J427="Não","Não Compareceu",IF(J427="Sim","Compareceu",IF(H427="Não","Perdido",IF(H427="Sim","Consulta Marcada",IF(A427="","","Novo Paciente")))))))))))</f>
        <v/>
      </c>
      <c r="T427" s="1" t="str">
        <f aca="false">IF(A427="","",SUMPRODUCT(($R$2:R427=R427)*($A$2:A427&lt;&gt;"")))</f>
        <v/>
      </c>
      <c r="U427" s="1" t="str">
        <f aca="false">IF(A427="","",R427&amp;"|"&amp;T427)</f>
        <v/>
      </c>
      <c r="V427" s="1" t="str">
        <f aca="false">IF(G427="","",TEXT(G427,"mm/yyyy"))</f>
        <v/>
      </c>
      <c r="W427" s="1" t="str">
        <f aca="false">IF(P427="","",TEXT(P427,"mm/yyyy"))</f>
        <v/>
      </c>
      <c r="X427" s="1" t="str">
        <f aca="false">IF(A427="","",IF(OR(R427="Fechado (Total)",R427="Fechado (Parcial)"),"Fechado|"&amp;SUMPRODUCT((($R$2:R427="Fechado (Total)")+($R$2:R427="Fechado (Parcial)"))*($A$2:A427&lt;&gt;"")),""))</f>
        <v/>
      </c>
      <c r="Y427" s="1" t="str">
        <f aca="false">IF(A427="","",IF(D427="Indicação",SUMPRODUCT(($D$2:D427="Indicação")*($A$2:A427&lt;&gt;"")),""))</f>
        <v/>
      </c>
      <c r="Z427" s="1" t="str">
        <f aca="false">IF(Y427="","","Indicacao|"&amp;Y427)</f>
        <v/>
      </c>
      <c r="AA427" s="1" t="str">
        <f aca="false">IF(I427="","",TEXT(I427,"mm/yyyy"))</f>
        <v/>
      </c>
    </row>
    <row r="428" customFormat="false" ht="15.75" hidden="false" customHeight="true" outlineLevel="0" collapsed="false">
      <c r="G428" s="19"/>
      <c r="I428" s="19"/>
      <c r="P428" s="19"/>
      <c r="R428" s="1" t="str">
        <f aca="false">IF(N428="Sim","Fechado (Total)",IF(N428="Parcial","Fechado (Parcial)",IF(N428="Não","Perdido",IF(N428="Pendente","Pendente",IF(N428="Não precisa no momento","Não Precisa no Momento",IF(L428="Sim","Plano de Tratamento",IF(J428="Não","Não Compareceu",IF(J428="Sim","Compareceu",IF(H428="Não","Perdido",IF(H428="Sim","Consulta Marcada",IF(A428="","","Novo Paciente")))))))))))</f>
        <v/>
      </c>
      <c r="T428" s="1" t="str">
        <f aca="false">IF(A428="","",SUMPRODUCT(($R$2:R428=R428)*($A$2:A428&lt;&gt;"")))</f>
        <v/>
      </c>
      <c r="U428" s="1" t="str">
        <f aca="false">IF(A428="","",R428&amp;"|"&amp;T428)</f>
        <v/>
      </c>
      <c r="V428" s="1" t="str">
        <f aca="false">IF(G428="","",TEXT(G428,"mm/yyyy"))</f>
        <v/>
      </c>
      <c r="W428" s="1" t="str">
        <f aca="false">IF(P428="","",TEXT(P428,"mm/yyyy"))</f>
        <v/>
      </c>
      <c r="X428" s="1" t="str">
        <f aca="false">IF(A428="","",IF(OR(R428="Fechado (Total)",R428="Fechado (Parcial)"),"Fechado|"&amp;SUMPRODUCT((($R$2:R428="Fechado (Total)")+($R$2:R428="Fechado (Parcial)"))*($A$2:A428&lt;&gt;"")),""))</f>
        <v/>
      </c>
      <c r="Y428" s="1" t="str">
        <f aca="false">IF(A428="","",IF(D428="Indicação",SUMPRODUCT(($D$2:D428="Indicação")*($A$2:A428&lt;&gt;"")),""))</f>
        <v/>
      </c>
      <c r="Z428" s="1" t="str">
        <f aca="false">IF(Y428="","","Indicacao|"&amp;Y428)</f>
        <v/>
      </c>
      <c r="AA428" s="1" t="str">
        <f aca="false">IF(I428="","",TEXT(I428,"mm/yyyy"))</f>
        <v/>
      </c>
    </row>
    <row r="429" customFormat="false" ht="15.75" hidden="false" customHeight="true" outlineLevel="0" collapsed="false">
      <c r="G429" s="19"/>
      <c r="I429" s="19"/>
      <c r="P429" s="19"/>
      <c r="R429" s="1" t="str">
        <f aca="false">IF(N429="Sim","Fechado (Total)",IF(N429="Parcial","Fechado (Parcial)",IF(N429="Não","Perdido",IF(N429="Pendente","Pendente",IF(N429="Não precisa no momento","Não Precisa no Momento",IF(L429="Sim","Plano de Tratamento",IF(J429="Não","Não Compareceu",IF(J429="Sim","Compareceu",IF(H429="Não","Perdido",IF(H429="Sim","Consulta Marcada",IF(A429="","","Novo Paciente")))))))))))</f>
        <v/>
      </c>
      <c r="T429" s="1" t="str">
        <f aca="false">IF(A429="","",SUMPRODUCT(($R$2:R429=R429)*($A$2:A429&lt;&gt;"")))</f>
        <v/>
      </c>
      <c r="U429" s="1" t="str">
        <f aca="false">IF(A429="","",R429&amp;"|"&amp;T429)</f>
        <v/>
      </c>
      <c r="V429" s="1" t="str">
        <f aca="false">IF(G429="","",TEXT(G429,"mm/yyyy"))</f>
        <v/>
      </c>
      <c r="W429" s="1" t="str">
        <f aca="false">IF(P429="","",TEXT(P429,"mm/yyyy"))</f>
        <v/>
      </c>
      <c r="X429" s="1" t="str">
        <f aca="false">IF(A429="","",IF(OR(R429="Fechado (Total)",R429="Fechado (Parcial)"),"Fechado|"&amp;SUMPRODUCT((($R$2:R429="Fechado (Total)")+($R$2:R429="Fechado (Parcial)"))*($A$2:A429&lt;&gt;"")),""))</f>
        <v/>
      </c>
      <c r="Y429" s="1" t="str">
        <f aca="false">IF(A429="","",IF(D429="Indicação",SUMPRODUCT(($D$2:D429="Indicação")*($A$2:A429&lt;&gt;"")),""))</f>
        <v/>
      </c>
      <c r="Z429" s="1" t="str">
        <f aca="false">IF(Y429="","","Indicacao|"&amp;Y429)</f>
        <v/>
      </c>
      <c r="AA429" s="1" t="str">
        <f aca="false">IF(I429="","",TEXT(I429,"mm/yyyy"))</f>
        <v/>
      </c>
    </row>
    <row r="430" customFormat="false" ht="15.75" hidden="false" customHeight="true" outlineLevel="0" collapsed="false">
      <c r="G430" s="19"/>
      <c r="I430" s="19"/>
      <c r="P430" s="19"/>
      <c r="R430" s="1" t="str">
        <f aca="false">IF(N430="Sim","Fechado (Total)",IF(N430="Parcial","Fechado (Parcial)",IF(N430="Não","Perdido",IF(N430="Pendente","Pendente",IF(N430="Não precisa no momento","Não Precisa no Momento",IF(L430="Sim","Plano de Tratamento",IF(J430="Não","Não Compareceu",IF(J430="Sim","Compareceu",IF(H430="Não","Perdido",IF(H430="Sim","Consulta Marcada",IF(A430="","","Novo Paciente")))))))))))</f>
        <v/>
      </c>
      <c r="T430" s="1" t="str">
        <f aca="false">IF(A430="","",SUMPRODUCT(($R$2:R430=R430)*($A$2:A430&lt;&gt;"")))</f>
        <v/>
      </c>
      <c r="U430" s="1" t="str">
        <f aca="false">IF(A430="","",R430&amp;"|"&amp;T430)</f>
        <v/>
      </c>
      <c r="V430" s="1" t="str">
        <f aca="false">IF(G430="","",TEXT(G430,"mm/yyyy"))</f>
        <v/>
      </c>
      <c r="W430" s="1" t="str">
        <f aca="false">IF(P430="","",TEXT(P430,"mm/yyyy"))</f>
        <v/>
      </c>
      <c r="X430" s="1" t="str">
        <f aca="false">IF(A430="","",IF(OR(R430="Fechado (Total)",R430="Fechado (Parcial)"),"Fechado|"&amp;SUMPRODUCT((($R$2:R430="Fechado (Total)")+($R$2:R430="Fechado (Parcial)"))*($A$2:A430&lt;&gt;"")),""))</f>
        <v/>
      </c>
      <c r="Y430" s="1" t="str">
        <f aca="false">IF(A430="","",IF(D430="Indicação",SUMPRODUCT(($D$2:D430="Indicação")*($A$2:A430&lt;&gt;"")),""))</f>
        <v/>
      </c>
      <c r="Z430" s="1" t="str">
        <f aca="false">IF(Y430="","","Indicacao|"&amp;Y430)</f>
        <v/>
      </c>
      <c r="AA430" s="1" t="str">
        <f aca="false">IF(I430="","",TEXT(I430,"mm/yyyy"))</f>
        <v/>
      </c>
    </row>
    <row r="431" customFormat="false" ht="15.75" hidden="false" customHeight="true" outlineLevel="0" collapsed="false">
      <c r="G431" s="19"/>
      <c r="I431" s="19"/>
      <c r="P431" s="19"/>
      <c r="R431" s="1" t="str">
        <f aca="false">IF(N431="Sim","Fechado (Total)",IF(N431="Parcial","Fechado (Parcial)",IF(N431="Não","Perdido",IF(N431="Pendente","Pendente",IF(N431="Não precisa no momento","Não Precisa no Momento",IF(L431="Sim","Plano de Tratamento",IF(J431="Não","Não Compareceu",IF(J431="Sim","Compareceu",IF(H431="Não","Perdido",IF(H431="Sim","Consulta Marcada",IF(A431="","","Novo Paciente")))))))))))</f>
        <v/>
      </c>
      <c r="T431" s="1" t="str">
        <f aca="false">IF(A431="","",SUMPRODUCT(($R$2:R431=R431)*($A$2:A431&lt;&gt;"")))</f>
        <v/>
      </c>
      <c r="U431" s="1" t="str">
        <f aca="false">IF(A431="","",R431&amp;"|"&amp;T431)</f>
        <v/>
      </c>
      <c r="V431" s="1" t="str">
        <f aca="false">IF(G431="","",TEXT(G431,"mm/yyyy"))</f>
        <v/>
      </c>
      <c r="W431" s="1" t="str">
        <f aca="false">IF(P431="","",TEXT(P431,"mm/yyyy"))</f>
        <v/>
      </c>
      <c r="X431" s="1" t="str">
        <f aca="false">IF(A431="","",IF(OR(R431="Fechado (Total)",R431="Fechado (Parcial)"),"Fechado|"&amp;SUMPRODUCT((($R$2:R431="Fechado (Total)")+($R$2:R431="Fechado (Parcial)"))*($A$2:A431&lt;&gt;"")),""))</f>
        <v/>
      </c>
      <c r="Y431" s="1" t="str">
        <f aca="false">IF(A431="","",IF(D431="Indicação",SUMPRODUCT(($D$2:D431="Indicação")*($A$2:A431&lt;&gt;"")),""))</f>
        <v/>
      </c>
      <c r="Z431" s="1" t="str">
        <f aca="false">IF(Y431="","","Indicacao|"&amp;Y431)</f>
        <v/>
      </c>
      <c r="AA431" s="1" t="str">
        <f aca="false">IF(I431="","",TEXT(I431,"mm/yyyy"))</f>
        <v/>
      </c>
    </row>
    <row r="432" customFormat="false" ht="15.75" hidden="false" customHeight="true" outlineLevel="0" collapsed="false">
      <c r="G432" s="19"/>
      <c r="I432" s="19"/>
      <c r="P432" s="19"/>
      <c r="R432" s="1" t="str">
        <f aca="false">IF(N432="Sim","Fechado (Total)",IF(N432="Parcial","Fechado (Parcial)",IF(N432="Não","Perdido",IF(N432="Pendente","Pendente",IF(N432="Não precisa no momento","Não Precisa no Momento",IF(L432="Sim","Plano de Tratamento",IF(J432="Não","Não Compareceu",IF(J432="Sim","Compareceu",IF(H432="Não","Perdido",IF(H432="Sim","Consulta Marcada",IF(A432="","","Novo Paciente")))))))))))</f>
        <v/>
      </c>
      <c r="T432" s="1" t="str">
        <f aca="false">IF(A432="","",SUMPRODUCT(($R$2:R432=R432)*($A$2:A432&lt;&gt;"")))</f>
        <v/>
      </c>
      <c r="U432" s="1" t="str">
        <f aca="false">IF(A432="","",R432&amp;"|"&amp;T432)</f>
        <v/>
      </c>
      <c r="V432" s="1" t="str">
        <f aca="false">IF(G432="","",TEXT(G432,"mm/yyyy"))</f>
        <v/>
      </c>
      <c r="W432" s="1" t="str">
        <f aca="false">IF(P432="","",TEXT(P432,"mm/yyyy"))</f>
        <v/>
      </c>
      <c r="X432" s="1" t="str">
        <f aca="false">IF(A432="","",IF(OR(R432="Fechado (Total)",R432="Fechado (Parcial)"),"Fechado|"&amp;SUMPRODUCT((($R$2:R432="Fechado (Total)")+($R$2:R432="Fechado (Parcial)"))*($A$2:A432&lt;&gt;"")),""))</f>
        <v/>
      </c>
      <c r="Y432" s="1" t="str">
        <f aca="false">IF(A432="","",IF(D432="Indicação",SUMPRODUCT(($D$2:D432="Indicação")*($A$2:A432&lt;&gt;"")),""))</f>
        <v/>
      </c>
      <c r="Z432" s="1" t="str">
        <f aca="false">IF(Y432="","","Indicacao|"&amp;Y432)</f>
        <v/>
      </c>
      <c r="AA432" s="1" t="str">
        <f aca="false">IF(I432="","",TEXT(I432,"mm/yyyy"))</f>
        <v/>
      </c>
    </row>
    <row r="433" customFormat="false" ht="15.75" hidden="false" customHeight="true" outlineLevel="0" collapsed="false">
      <c r="G433" s="19"/>
      <c r="I433" s="19"/>
      <c r="P433" s="19"/>
      <c r="R433" s="1" t="str">
        <f aca="false">IF(N433="Sim","Fechado (Total)",IF(N433="Parcial","Fechado (Parcial)",IF(N433="Não","Perdido",IF(N433="Pendente","Pendente",IF(N433="Não precisa no momento","Não Precisa no Momento",IF(L433="Sim","Plano de Tratamento",IF(J433="Não","Não Compareceu",IF(J433="Sim","Compareceu",IF(H433="Não","Perdido",IF(H433="Sim","Consulta Marcada",IF(A433="","","Novo Paciente")))))))))))</f>
        <v/>
      </c>
      <c r="T433" s="1" t="str">
        <f aca="false">IF(A433="","",SUMPRODUCT(($R$2:R433=R433)*($A$2:A433&lt;&gt;"")))</f>
        <v/>
      </c>
      <c r="U433" s="1" t="str">
        <f aca="false">IF(A433="","",R433&amp;"|"&amp;T433)</f>
        <v/>
      </c>
      <c r="V433" s="1" t="str">
        <f aca="false">IF(G433="","",TEXT(G433,"mm/yyyy"))</f>
        <v/>
      </c>
      <c r="W433" s="1" t="str">
        <f aca="false">IF(P433="","",TEXT(P433,"mm/yyyy"))</f>
        <v/>
      </c>
      <c r="X433" s="1" t="str">
        <f aca="false">IF(A433="","",IF(OR(R433="Fechado (Total)",R433="Fechado (Parcial)"),"Fechado|"&amp;SUMPRODUCT((($R$2:R433="Fechado (Total)")+($R$2:R433="Fechado (Parcial)"))*($A$2:A433&lt;&gt;"")),""))</f>
        <v/>
      </c>
      <c r="Y433" s="1" t="str">
        <f aca="false">IF(A433="","",IF(D433="Indicação",SUMPRODUCT(($D$2:D433="Indicação")*($A$2:A433&lt;&gt;"")),""))</f>
        <v/>
      </c>
      <c r="Z433" s="1" t="str">
        <f aca="false">IF(Y433="","","Indicacao|"&amp;Y433)</f>
        <v/>
      </c>
      <c r="AA433" s="1" t="str">
        <f aca="false">IF(I433="","",TEXT(I433,"mm/yyyy"))</f>
        <v/>
      </c>
    </row>
    <row r="434" customFormat="false" ht="15.75" hidden="false" customHeight="true" outlineLevel="0" collapsed="false">
      <c r="G434" s="19"/>
      <c r="I434" s="19"/>
      <c r="P434" s="19"/>
      <c r="R434" s="1" t="str">
        <f aca="false">IF(N434="Sim","Fechado (Total)",IF(N434="Parcial","Fechado (Parcial)",IF(N434="Não","Perdido",IF(N434="Pendente","Pendente",IF(N434="Não precisa no momento","Não Precisa no Momento",IF(L434="Sim","Plano de Tratamento",IF(J434="Não","Não Compareceu",IF(J434="Sim","Compareceu",IF(H434="Não","Perdido",IF(H434="Sim","Consulta Marcada",IF(A434="","","Novo Paciente")))))))))))</f>
        <v/>
      </c>
      <c r="T434" s="1" t="str">
        <f aca="false">IF(A434="","",SUMPRODUCT(($R$2:R434=R434)*($A$2:A434&lt;&gt;"")))</f>
        <v/>
      </c>
      <c r="U434" s="1" t="str">
        <f aca="false">IF(A434="","",R434&amp;"|"&amp;T434)</f>
        <v/>
      </c>
      <c r="V434" s="1" t="str">
        <f aca="false">IF(G434="","",TEXT(G434,"mm/yyyy"))</f>
        <v/>
      </c>
      <c r="W434" s="1" t="str">
        <f aca="false">IF(P434="","",TEXT(P434,"mm/yyyy"))</f>
        <v/>
      </c>
      <c r="X434" s="1" t="str">
        <f aca="false">IF(A434="","",IF(OR(R434="Fechado (Total)",R434="Fechado (Parcial)"),"Fechado|"&amp;SUMPRODUCT((($R$2:R434="Fechado (Total)")+($R$2:R434="Fechado (Parcial)"))*($A$2:A434&lt;&gt;"")),""))</f>
        <v/>
      </c>
      <c r="Y434" s="1" t="str">
        <f aca="false">IF(A434="","",IF(D434="Indicação",SUMPRODUCT(($D$2:D434="Indicação")*($A$2:A434&lt;&gt;"")),""))</f>
        <v/>
      </c>
      <c r="Z434" s="1" t="str">
        <f aca="false">IF(Y434="","","Indicacao|"&amp;Y434)</f>
        <v/>
      </c>
      <c r="AA434" s="1" t="str">
        <f aca="false">IF(I434="","",TEXT(I434,"mm/yyyy"))</f>
        <v/>
      </c>
    </row>
    <row r="435" customFormat="false" ht="15.75" hidden="false" customHeight="true" outlineLevel="0" collapsed="false">
      <c r="G435" s="19"/>
      <c r="I435" s="19"/>
      <c r="P435" s="19"/>
      <c r="R435" s="1" t="str">
        <f aca="false">IF(N435="Sim","Fechado (Total)",IF(N435="Parcial","Fechado (Parcial)",IF(N435="Não","Perdido",IF(N435="Pendente","Pendente",IF(N435="Não precisa no momento","Não Precisa no Momento",IF(L435="Sim","Plano de Tratamento",IF(J435="Não","Não Compareceu",IF(J435="Sim","Compareceu",IF(H435="Não","Perdido",IF(H435="Sim","Consulta Marcada",IF(A435="","","Novo Paciente")))))))))))</f>
        <v/>
      </c>
      <c r="T435" s="1" t="str">
        <f aca="false">IF(A435="","",SUMPRODUCT(($R$2:R435=R435)*($A$2:A435&lt;&gt;"")))</f>
        <v/>
      </c>
      <c r="U435" s="1" t="str">
        <f aca="false">IF(A435="","",R435&amp;"|"&amp;T435)</f>
        <v/>
      </c>
      <c r="V435" s="1" t="str">
        <f aca="false">IF(G435="","",TEXT(G435,"mm/yyyy"))</f>
        <v/>
      </c>
      <c r="W435" s="1" t="str">
        <f aca="false">IF(P435="","",TEXT(P435,"mm/yyyy"))</f>
        <v/>
      </c>
      <c r="X435" s="1" t="str">
        <f aca="false">IF(A435="","",IF(OR(R435="Fechado (Total)",R435="Fechado (Parcial)"),"Fechado|"&amp;SUMPRODUCT((($R$2:R435="Fechado (Total)")+($R$2:R435="Fechado (Parcial)"))*($A$2:A435&lt;&gt;"")),""))</f>
        <v/>
      </c>
      <c r="Y435" s="1" t="str">
        <f aca="false">IF(A435="","",IF(D435="Indicação",SUMPRODUCT(($D$2:D435="Indicação")*($A$2:A435&lt;&gt;"")),""))</f>
        <v/>
      </c>
      <c r="Z435" s="1" t="str">
        <f aca="false">IF(Y435="","","Indicacao|"&amp;Y435)</f>
        <v/>
      </c>
      <c r="AA435" s="1" t="str">
        <f aca="false">IF(I435="","",TEXT(I435,"mm/yyyy"))</f>
        <v/>
      </c>
    </row>
    <row r="436" customFormat="false" ht="15.75" hidden="false" customHeight="true" outlineLevel="0" collapsed="false">
      <c r="G436" s="19"/>
      <c r="I436" s="19"/>
      <c r="P436" s="19"/>
      <c r="R436" s="1" t="str">
        <f aca="false">IF(N436="Sim","Fechado (Total)",IF(N436="Parcial","Fechado (Parcial)",IF(N436="Não","Perdido",IF(N436="Pendente","Pendente",IF(N436="Não precisa no momento","Não Precisa no Momento",IF(L436="Sim","Plano de Tratamento",IF(J436="Não","Não Compareceu",IF(J436="Sim","Compareceu",IF(H436="Não","Perdido",IF(H436="Sim","Consulta Marcada",IF(A436="","","Novo Paciente")))))))))))</f>
        <v/>
      </c>
      <c r="T436" s="1" t="str">
        <f aca="false">IF(A436="","",SUMPRODUCT(($R$2:R436=R436)*($A$2:A436&lt;&gt;"")))</f>
        <v/>
      </c>
      <c r="U436" s="1" t="str">
        <f aca="false">IF(A436="","",R436&amp;"|"&amp;T436)</f>
        <v/>
      </c>
      <c r="V436" s="1" t="str">
        <f aca="false">IF(G436="","",TEXT(G436,"mm/yyyy"))</f>
        <v/>
      </c>
      <c r="W436" s="1" t="str">
        <f aca="false">IF(P436="","",TEXT(P436,"mm/yyyy"))</f>
        <v/>
      </c>
      <c r="X436" s="1" t="str">
        <f aca="false">IF(A436="","",IF(OR(R436="Fechado (Total)",R436="Fechado (Parcial)"),"Fechado|"&amp;SUMPRODUCT((($R$2:R436="Fechado (Total)")+($R$2:R436="Fechado (Parcial)"))*($A$2:A436&lt;&gt;"")),""))</f>
        <v/>
      </c>
      <c r="Y436" s="1" t="str">
        <f aca="false">IF(A436="","",IF(D436="Indicação",SUMPRODUCT(($D$2:D436="Indicação")*($A$2:A436&lt;&gt;"")),""))</f>
        <v/>
      </c>
      <c r="Z436" s="1" t="str">
        <f aca="false">IF(Y436="","","Indicacao|"&amp;Y436)</f>
        <v/>
      </c>
      <c r="AA436" s="1" t="str">
        <f aca="false">IF(I436="","",TEXT(I436,"mm/yyyy"))</f>
        <v/>
      </c>
    </row>
    <row r="437" customFormat="false" ht="15.75" hidden="false" customHeight="true" outlineLevel="0" collapsed="false">
      <c r="G437" s="19"/>
      <c r="I437" s="19"/>
      <c r="P437" s="19"/>
      <c r="R437" s="1" t="str">
        <f aca="false">IF(N437="Sim","Fechado (Total)",IF(N437="Parcial","Fechado (Parcial)",IF(N437="Não","Perdido",IF(N437="Pendente","Pendente",IF(N437="Não precisa no momento","Não Precisa no Momento",IF(L437="Sim","Plano de Tratamento",IF(J437="Não","Não Compareceu",IF(J437="Sim","Compareceu",IF(H437="Não","Perdido",IF(H437="Sim","Consulta Marcada",IF(A437="","","Novo Paciente")))))))))))</f>
        <v/>
      </c>
      <c r="T437" s="1" t="str">
        <f aca="false">IF(A437="","",SUMPRODUCT(($R$2:R437=R437)*($A$2:A437&lt;&gt;"")))</f>
        <v/>
      </c>
      <c r="U437" s="1" t="str">
        <f aca="false">IF(A437="","",R437&amp;"|"&amp;T437)</f>
        <v/>
      </c>
      <c r="V437" s="1" t="str">
        <f aca="false">IF(G437="","",TEXT(G437,"mm/yyyy"))</f>
        <v/>
      </c>
      <c r="W437" s="1" t="str">
        <f aca="false">IF(P437="","",TEXT(P437,"mm/yyyy"))</f>
        <v/>
      </c>
      <c r="X437" s="1" t="str">
        <f aca="false">IF(A437="","",IF(OR(R437="Fechado (Total)",R437="Fechado (Parcial)"),"Fechado|"&amp;SUMPRODUCT((($R$2:R437="Fechado (Total)")+($R$2:R437="Fechado (Parcial)"))*($A$2:A437&lt;&gt;"")),""))</f>
        <v/>
      </c>
      <c r="Y437" s="1" t="str">
        <f aca="false">IF(A437="","",IF(D437="Indicação",SUMPRODUCT(($D$2:D437="Indicação")*($A$2:A437&lt;&gt;"")),""))</f>
        <v/>
      </c>
      <c r="Z437" s="1" t="str">
        <f aca="false">IF(Y437="","","Indicacao|"&amp;Y437)</f>
        <v/>
      </c>
      <c r="AA437" s="1" t="str">
        <f aca="false">IF(I437="","",TEXT(I437,"mm/yyyy"))</f>
        <v/>
      </c>
    </row>
    <row r="438" customFormat="false" ht="15.75" hidden="false" customHeight="true" outlineLevel="0" collapsed="false">
      <c r="G438" s="19"/>
      <c r="I438" s="19"/>
      <c r="P438" s="19"/>
      <c r="R438" s="1" t="str">
        <f aca="false">IF(N438="Sim","Fechado (Total)",IF(N438="Parcial","Fechado (Parcial)",IF(N438="Não","Perdido",IF(N438="Pendente","Pendente",IF(N438="Não precisa no momento","Não Precisa no Momento",IF(L438="Sim","Plano de Tratamento",IF(J438="Não","Não Compareceu",IF(J438="Sim","Compareceu",IF(H438="Não","Perdido",IF(H438="Sim","Consulta Marcada",IF(A438="","","Novo Paciente")))))))))))</f>
        <v/>
      </c>
      <c r="T438" s="1" t="str">
        <f aca="false">IF(A438="","",SUMPRODUCT(($R$2:R438=R438)*($A$2:A438&lt;&gt;"")))</f>
        <v/>
      </c>
      <c r="U438" s="1" t="str">
        <f aca="false">IF(A438="","",R438&amp;"|"&amp;T438)</f>
        <v/>
      </c>
      <c r="V438" s="1" t="str">
        <f aca="false">IF(G438="","",TEXT(G438,"mm/yyyy"))</f>
        <v/>
      </c>
      <c r="W438" s="1" t="str">
        <f aca="false">IF(P438="","",TEXT(P438,"mm/yyyy"))</f>
        <v/>
      </c>
      <c r="X438" s="1" t="str">
        <f aca="false">IF(A438="","",IF(OR(R438="Fechado (Total)",R438="Fechado (Parcial)"),"Fechado|"&amp;SUMPRODUCT((($R$2:R438="Fechado (Total)")+($R$2:R438="Fechado (Parcial)"))*($A$2:A438&lt;&gt;"")),""))</f>
        <v/>
      </c>
      <c r="Y438" s="1" t="str">
        <f aca="false">IF(A438="","",IF(D438="Indicação",SUMPRODUCT(($D$2:D438="Indicação")*($A$2:A438&lt;&gt;"")),""))</f>
        <v/>
      </c>
      <c r="Z438" s="1" t="str">
        <f aca="false">IF(Y438="","","Indicacao|"&amp;Y438)</f>
        <v/>
      </c>
      <c r="AA438" s="1" t="str">
        <f aca="false">IF(I438="","",TEXT(I438,"mm/yyyy"))</f>
        <v/>
      </c>
    </row>
    <row r="439" customFormat="false" ht="15.75" hidden="false" customHeight="true" outlineLevel="0" collapsed="false">
      <c r="G439" s="19"/>
      <c r="I439" s="19"/>
      <c r="P439" s="19"/>
      <c r="R439" s="1" t="str">
        <f aca="false">IF(N439="Sim","Fechado (Total)",IF(N439="Parcial","Fechado (Parcial)",IF(N439="Não","Perdido",IF(N439="Pendente","Pendente",IF(N439="Não precisa no momento","Não Precisa no Momento",IF(L439="Sim","Plano de Tratamento",IF(J439="Não","Não Compareceu",IF(J439="Sim","Compareceu",IF(H439="Não","Perdido",IF(H439="Sim","Consulta Marcada",IF(A439="","","Novo Paciente")))))))))))</f>
        <v/>
      </c>
      <c r="T439" s="1" t="str">
        <f aca="false">IF(A439="","",SUMPRODUCT(($R$2:R439=R439)*($A$2:A439&lt;&gt;"")))</f>
        <v/>
      </c>
      <c r="U439" s="1" t="str">
        <f aca="false">IF(A439="","",R439&amp;"|"&amp;T439)</f>
        <v/>
      </c>
      <c r="V439" s="1" t="str">
        <f aca="false">IF(G439="","",TEXT(G439,"mm/yyyy"))</f>
        <v/>
      </c>
      <c r="W439" s="1" t="str">
        <f aca="false">IF(P439="","",TEXT(P439,"mm/yyyy"))</f>
        <v/>
      </c>
      <c r="X439" s="1" t="str">
        <f aca="false">IF(A439="","",IF(OR(R439="Fechado (Total)",R439="Fechado (Parcial)"),"Fechado|"&amp;SUMPRODUCT((($R$2:R439="Fechado (Total)")+($R$2:R439="Fechado (Parcial)"))*($A$2:A439&lt;&gt;"")),""))</f>
        <v/>
      </c>
      <c r="Y439" s="1" t="str">
        <f aca="false">IF(A439="","",IF(D439="Indicação",SUMPRODUCT(($D$2:D439="Indicação")*($A$2:A439&lt;&gt;"")),""))</f>
        <v/>
      </c>
      <c r="Z439" s="1" t="str">
        <f aca="false">IF(Y439="","","Indicacao|"&amp;Y439)</f>
        <v/>
      </c>
      <c r="AA439" s="1" t="str">
        <f aca="false">IF(I439="","",TEXT(I439,"mm/yyyy"))</f>
        <v/>
      </c>
    </row>
    <row r="440" customFormat="false" ht="15.75" hidden="false" customHeight="true" outlineLevel="0" collapsed="false">
      <c r="G440" s="19"/>
      <c r="I440" s="19"/>
      <c r="P440" s="19"/>
      <c r="R440" s="1" t="str">
        <f aca="false">IF(N440="Sim","Fechado (Total)",IF(N440="Parcial","Fechado (Parcial)",IF(N440="Não","Perdido",IF(N440="Pendente","Pendente",IF(N440="Não precisa no momento","Não Precisa no Momento",IF(L440="Sim","Plano de Tratamento",IF(J440="Não","Não Compareceu",IF(J440="Sim","Compareceu",IF(H440="Não","Perdido",IF(H440="Sim","Consulta Marcada",IF(A440="","","Novo Paciente")))))))))))</f>
        <v/>
      </c>
      <c r="T440" s="1" t="str">
        <f aca="false">IF(A440="","",SUMPRODUCT(($R$2:R440=R440)*($A$2:A440&lt;&gt;"")))</f>
        <v/>
      </c>
      <c r="U440" s="1" t="str">
        <f aca="false">IF(A440="","",R440&amp;"|"&amp;T440)</f>
        <v/>
      </c>
      <c r="V440" s="1" t="str">
        <f aca="false">IF(G440="","",TEXT(G440,"mm/yyyy"))</f>
        <v/>
      </c>
      <c r="W440" s="1" t="str">
        <f aca="false">IF(P440="","",TEXT(P440,"mm/yyyy"))</f>
        <v/>
      </c>
      <c r="X440" s="1" t="str">
        <f aca="false">IF(A440="","",IF(OR(R440="Fechado (Total)",R440="Fechado (Parcial)"),"Fechado|"&amp;SUMPRODUCT((($R$2:R440="Fechado (Total)")+($R$2:R440="Fechado (Parcial)"))*($A$2:A440&lt;&gt;"")),""))</f>
        <v/>
      </c>
      <c r="Y440" s="1" t="str">
        <f aca="false">IF(A440="","",IF(D440="Indicação",SUMPRODUCT(($D$2:D440="Indicação")*($A$2:A440&lt;&gt;"")),""))</f>
        <v/>
      </c>
      <c r="Z440" s="1" t="str">
        <f aca="false">IF(Y440="","","Indicacao|"&amp;Y440)</f>
        <v/>
      </c>
      <c r="AA440" s="1" t="str">
        <f aca="false">IF(I440="","",TEXT(I440,"mm/yyyy"))</f>
        <v/>
      </c>
    </row>
    <row r="441" customFormat="false" ht="15.75" hidden="false" customHeight="true" outlineLevel="0" collapsed="false">
      <c r="G441" s="19"/>
      <c r="I441" s="19"/>
      <c r="P441" s="19"/>
      <c r="R441" s="1" t="str">
        <f aca="false">IF(N441="Sim","Fechado (Total)",IF(N441="Parcial","Fechado (Parcial)",IF(N441="Não","Perdido",IF(N441="Pendente","Pendente",IF(N441="Não precisa no momento","Não Precisa no Momento",IF(L441="Sim","Plano de Tratamento",IF(J441="Não","Não Compareceu",IF(J441="Sim","Compareceu",IF(H441="Não","Perdido",IF(H441="Sim","Consulta Marcada",IF(A441="","","Novo Paciente")))))))))))</f>
        <v/>
      </c>
      <c r="T441" s="1" t="str">
        <f aca="false">IF(A441="","",SUMPRODUCT(($R$2:R441=R441)*($A$2:A441&lt;&gt;"")))</f>
        <v/>
      </c>
      <c r="U441" s="1" t="str">
        <f aca="false">IF(A441="","",R441&amp;"|"&amp;T441)</f>
        <v/>
      </c>
      <c r="V441" s="1" t="str">
        <f aca="false">IF(G441="","",TEXT(G441,"mm/yyyy"))</f>
        <v/>
      </c>
      <c r="W441" s="1" t="str">
        <f aca="false">IF(P441="","",TEXT(P441,"mm/yyyy"))</f>
        <v/>
      </c>
      <c r="X441" s="1" t="str">
        <f aca="false">IF(A441="","",IF(OR(R441="Fechado (Total)",R441="Fechado (Parcial)"),"Fechado|"&amp;SUMPRODUCT((($R$2:R441="Fechado (Total)")+($R$2:R441="Fechado (Parcial)"))*($A$2:A441&lt;&gt;"")),""))</f>
        <v/>
      </c>
      <c r="Y441" s="1" t="str">
        <f aca="false">IF(A441="","",IF(D441="Indicação",SUMPRODUCT(($D$2:D441="Indicação")*($A$2:A441&lt;&gt;"")),""))</f>
        <v/>
      </c>
      <c r="Z441" s="1" t="str">
        <f aca="false">IF(Y441="","","Indicacao|"&amp;Y441)</f>
        <v/>
      </c>
      <c r="AA441" s="1" t="str">
        <f aca="false">IF(I441="","",TEXT(I441,"mm/yyyy"))</f>
        <v/>
      </c>
    </row>
    <row r="442" customFormat="false" ht="15.75" hidden="false" customHeight="true" outlineLevel="0" collapsed="false">
      <c r="G442" s="19"/>
      <c r="I442" s="19"/>
      <c r="P442" s="19"/>
      <c r="R442" s="1" t="str">
        <f aca="false">IF(N442="Sim","Fechado (Total)",IF(N442="Parcial","Fechado (Parcial)",IF(N442="Não","Perdido",IF(N442="Pendente","Pendente",IF(N442="Não precisa no momento","Não Precisa no Momento",IF(L442="Sim","Plano de Tratamento",IF(J442="Não","Não Compareceu",IF(J442="Sim","Compareceu",IF(H442="Não","Perdido",IF(H442="Sim","Consulta Marcada",IF(A442="","","Novo Paciente")))))))))))</f>
        <v/>
      </c>
      <c r="T442" s="1" t="str">
        <f aca="false">IF(A442="","",SUMPRODUCT(($R$2:R442=R442)*($A$2:A442&lt;&gt;"")))</f>
        <v/>
      </c>
      <c r="U442" s="1" t="str">
        <f aca="false">IF(A442="","",R442&amp;"|"&amp;T442)</f>
        <v/>
      </c>
      <c r="V442" s="1" t="str">
        <f aca="false">IF(G442="","",TEXT(G442,"mm/yyyy"))</f>
        <v/>
      </c>
      <c r="W442" s="1" t="str">
        <f aca="false">IF(P442="","",TEXT(P442,"mm/yyyy"))</f>
        <v/>
      </c>
      <c r="X442" s="1" t="str">
        <f aca="false">IF(A442="","",IF(OR(R442="Fechado (Total)",R442="Fechado (Parcial)"),"Fechado|"&amp;SUMPRODUCT((($R$2:R442="Fechado (Total)")+($R$2:R442="Fechado (Parcial)"))*($A$2:A442&lt;&gt;"")),""))</f>
        <v/>
      </c>
      <c r="Y442" s="1" t="str">
        <f aca="false">IF(A442="","",IF(D442="Indicação",SUMPRODUCT(($D$2:D442="Indicação")*($A$2:A442&lt;&gt;"")),""))</f>
        <v/>
      </c>
      <c r="Z442" s="1" t="str">
        <f aca="false">IF(Y442="","","Indicacao|"&amp;Y442)</f>
        <v/>
      </c>
      <c r="AA442" s="1" t="str">
        <f aca="false">IF(I442="","",TEXT(I442,"mm/yyyy"))</f>
        <v/>
      </c>
    </row>
    <row r="443" customFormat="false" ht="15.75" hidden="false" customHeight="true" outlineLevel="0" collapsed="false">
      <c r="G443" s="19"/>
      <c r="I443" s="19"/>
      <c r="P443" s="19"/>
      <c r="R443" s="1" t="str">
        <f aca="false">IF(N443="Sim","Fechado (Total)",IF(N443="Parcial","Fechado (Parcial)",IF(N443="Não","Perdido",IF(N443="Pendente","Pendente",IF(N443="Não precisa no momento","Não Precisa no Momento",IF(L443="Sim","Plano de Tratamento",IF(J443="Não","Não Compareceu",IF(J443="Sim","Compareceu",IF(H443="Não","Perdido",IF(H443="Sim","Consulta Marcada",IF(A443="","","Novo Paciente")))))))))))</f>
        <v/>
      </c>
      <c r="T443" s="1" t="str">
        <f aca="false">IF(A443="","",SUMPRODUCT(($R$2:R443=R443)*($A$2:A443&lt;&gt;"")))</f>
        <v/>
      </c>
      <c r="U443" s="1" t="str">
        <f aca="false">IF(A443="","",R443&amp;"|"&amp;T443)</f>
        <v/>
      </c>
      <c r="V443" s="1" t="str">
        <f aca="false">IF(G443="","",TEXT(G443,"mm/yyyy"))</f>
        <v/>
      </c>
      <c r="W443" s="1" t="str">
        <f aca="false">IF(P443="","",TEXT(P443,"mm/yyyy"))</f>
        <v/>
      </c>
      <c r="X443" s="1" t="str">
        <f aca="false">IF(A443="","",IF(OR(R443="Fechado (Total)",R443="Fechado (Parcial)"),"Fechado|"&amp;SUMPRODUCT((($R$2:R443="Fechado (Total)")+($R$2:R443="Fechado (Parcial)"))*($A$2:A443&lt;&gt;"")),""))</f>
        <v/>
      </c>
      <c r="Y443" s="1" t="str">
        <f aca="false">IF(A443="","",IF(D443="Indicação",SUMPRODUCT(($D$2:D443="Indicação")*($A$2:A443&lt;&gt;"")),""))</f>
        <v/>
      </c>
      <c r="Z443" s="1" t="str">
        <f aca="false">IF(Y443="","","Indicacao|"&amp;Y443)</f>
        <v/>
      </c>
      <c r="AA443" s="1" t="str">
        <f aca="false">IF(I443="","",TEXT(I443,"mm/yyyy"))</f>
        <v/>
      </c>
    </row>
    <row r="444" customFormat="false" ht="15.75" hidden="false" customHeight="true" outlineLevel="0" collapsed="false">
      <c r="G444" s="19"/>
      <c r="I444" s="19"/>
      <c r="P444" s="19"/>
      <c r="R444" s="1" t="str">
        <f aca="false">IF(N444="Sim","Fechado (Total)",IF(N444="Parcial","Fechado (Parcial)",IF(N444="Não","Perdido",IF(N444="Pendente","Pendente",IF(N444="Não precisa no momento","Não Precisa no Momento",IF(L444="Sim","Plano de Tratamento",IF(J444="Não","Não Compareceu",IF(J444="Sim","Compareceu",IF(H444="Não","Perdido",IF(H444="Sim","Consulta Marcada",IF(A444="","","Novo Paciente")))))))))))</f>
        <v/>
      </c>
      <c r="T444" s="1" t="str">
        <f aca="false">IF(A444="","",SUMPRODUCT(($R$2:R444=R444)*($A$2:A444&lt;&gt;"")))</f>
        <v/>
      </c>
      <c r="U444" s="1" t="str">
        <f aca="false">IF(A444="","",R444&amp;"|"&amp;T444)</f>
        <v/>
      </c>
      <c r="V444" s="1" t="str">
        <f aca="false">IF(G444="","",TEXT(G444,"mm/yyyy"))</f>
        <v/>
      </c>
      <c r="W444" s="1" t="str">
        <f aca="false">IF(P444="","",TEXT(P444,"mm/yyyy"))</f>
        <v/>
      </c>
      <c r="X444" s="1" t="str">
        <f aca="false">IF(A444="","",IF(OR(R444="Fechado (Total)",R444="Fechado (Parcial)"),"Fechado|"&amp;SUMPRODUCT((($R$2:R444="Fechado (Total)")+($R$2:R444="Fechado (Parcial)"))*($A$2:A444&lt;&gt;"")),""))</f>
        <v/>
      </c>
      <c r="Y444" s="1" t="str">
        <f aca="false">IF(A444="","",IF(D444="Indicação",SUMPRODUCT(($D$2:D444="Indicação")*($A$2:A444&lt;&gt;"")),""))</f>
        <v/>
      </c>
      <c r="Z444" s="1" t="str">
        <f aca="false">IF(Y444="","","Indicacao|"&amp;Y444)</f>
        <v/>
      </c>
      <c r="AA444" s="1" t="str">
        <f aca="false">IF(I444="","",TEXT(I444,"mm/yyyy"))</f>
        <v/>
      </c>
    </row>
    <row r="445" customFormat="false" ht="15.75" hidden="false" customHeight="true" outlineLevel="0" collapsed="false">
      <c r="G445" s="19"/>
      <c r="I445" s="19"/>
      <c r="P445" s="19"/>
      <c r="R445" s="1" t="str">
        <f aca="false">IF(N445="Sim","Fechado (Total)",IF(N445="Parcial","Fechado (Parcial)",IF(N445="Não","Perdido",IF(N445="Pendente","Pendente",IF(N445="Não precisa no momento","Não Precisa no Momento",IF(L445="Sim","Plano de Tratamento",IF(J445="Não","Não Compareceu",IF(J445="Sim","Compareceu",IF(H445="Não","Perdido",IF(H445="Sim","Consulta Marcada",IF(A445="","","Novo Paciente")))))))))))</f>
        <v/>
      </c>
      <c r="T445" s="1" t="str">
        <f aca="false">IF(A445="","",SUMPRODUCT(($R$2:R445=R445)*($A$2:A445&lt;&gt;"")))</f>
        <v/>
      </c>
      <c r="U445" s="1" t="str">
        <f aca="false">IF(A445="","",R445&amp;"|"&amp;T445)</f>
        <v/>
      </c>
      <c r="V445" s="1" t="str">
        <f aca="false">IF(G445="","",TEXT(G445,"mm/yyyy"))</f>
        <v/>
      </c>
      <c r="W445" s="1" t="str">
        <f aca="false">IF(P445="","",TEXT(P445,"mm/yyyy"))</f>
        <v/>
      </c>
      <c r="X445" s="1" t="str">
        <f aca="false">IF(A445="","",IF(OR(R445="Fechado (Total)",R445="Fechado (Parcial)"),"Fechado|"&amp;SUMPRODUCT((($R$2:R445="Fechado (Total)")+($R$2:R445="Fechado (Parcial)"))*($A$2:A445&lt;&gt;"")),""))</f>
        <v/>
      </c>
      <c r="Y445" s="1" t="str">
        <f aca="false">IF(A445="","",IF(D445="Indicação",SUMPRODUCT(($D$2:D445="Indicação")*($A$2:A445&lt;&gt;"")),""))</f>
        <v/>
      </c>
      <c r="Z445" s="1" t="str">
        <f aca="false">IF(Y445="","","Indicacao|"&amp;Y445)</f>
        <v/>
      </c>
      <c r="AA445" s="1" t="str">
        <f aca="false">IF(I445="","",TEXT(I445,"mm/yyyy"))</f>
        <v/>
      </c>
    </row>
    <row r="446" customFormat="false" ht="15.75" hidden="false" customHeight="true" outlineLevel="0" collapsed="false">
      <c r="G446" s="19"/>
      <c r="I446" s="19"/>
      <c r="P446" s="19"/>
      <c r="R446" s="1" t="str">
        <f aca="false">IF(N446="Sim","Fechado (Total)",IF(N446="Parcial","Fechado (Parcial)",IF(N446="Não","Perdido",IF(N446="Pendente","Pendente",IF(N446="Não precisa no momento","Não Precisa no Momento",IF(L446="Sim","Plano de Tratamento",IF(J446="Não","Não Compareceu",IF(J446="Sim","Compareceu",IF(H446="Não","Perdido",IF(H446="Sim","Consulta Marcada",IF(A446="","","Novo Paciente")))))))))))</f>
        <v/>
      </c>
      <c r="T446" s="1" t="str">
        <f aca="false">IF(A446="","",SUMPRODUCT(($R$2:R446=R446)*($A$2:A446&lt;&gt;"")))</f>
        <v/>
      </c>
      <c r="U446" s="1" t="str">
        <f aca="false">IF(A446="","",R446&amp;"|"&amp;T446)</f>
        <v/>
      </c>
      <c r="V446" s="1" t="str">
        <f aca="false">IF(G446="","",TEXT(G446,"mm/yyyy"))</f>
        <v/>
      </c>
      <c r="W446" s="1" t="str">
        <f aca="false">IF(P446="","",TEXT(P446,"mm/yyyy"))</f>
        <v/>
      </c>
      <c r="X446" s="1" t="str">
        <f aca="false">IF(A446="","",IF(OR(R446="Fechado (Total)",R446="Fechado (Parcial)"),"Fechado|"&amp;SUMPRODUCT((($R$2:R446="Fechado (Total)")+($R$2:R446="Fechado (Parcial)"))*($A$2:A446&lt;&gt;"")),""))</f>
        <v/>
      </c>
      <c r="Y446" s="1" t="str">
        <f aca="false">IF(A446="","",IF(D446="Indicação",SUMPRODUCT(($D$2:D446="Indicação")*($A$2:A446&lt;&gt;"")),""))</f>
        <v/>
      </c>
      <c r="Z446" s="1" t="str">
        <f aca="false">IF(Y446="","","Indicacao|"&amp;Y446)</f>
        <v/>
      </c>
      <c r="AA446" s="1" t="str">
        <f aca="false">IF(I446="","",TEXT(I446,"mm/yyyy"))</f>
        <v/>
      </c>
    </row>
    <row r="447" customFormat="false" ht="15.75" hidden="false" customHeight="true" outlineLevel="0" collapsed="false">
      <c r="G447" s="19"/>
      <c r="I447" s="19"/>
      <c r="P447" s="19"/>
      <c r="R447" s="1" t="str">
        <f aca="false">IF(N447="Sim","Fechado (Total)",IF(N447="Parcial","Fechado (Parcial)",IF(N447="Não","Perdido",IF(N447="Pendente","Pendente",IF(N447="Não precisa no momento","Não Precisa no Momento",IF(L447="Sim","Plano de Tratamento",IF(J447="Não","Não Compareceu",IF(J447="Sim","Compareceu",IF(H447="Não","Perdido",IF(H447="Sim","Consulta Marcada",IF(A447="","","Novo Paciente")))))))))))</f>
        <v/>
      </c>
      <c r="T447" s="1" t="str">
        <f aca="false">IF(A447="","",SUMPRODUCT(($R$2:R447=R447)*($A$2:A447&lt;&gt;"")))</f>
        <v/>
      </c>
      <c r="U447" s="1" t="str">
        <f aca="false">IF(A447="","",R447&amp;"|"&amp;T447)</f>
        <v/>
      </c>
      <c r="V447" s="1" t="str">
        <f aca="false">IF(G447="","",TEXT(G447,"mm/yyyy"))</f>
        <v/>
      </c>
      <c r="W447" s="1" t="str">
        <f aca="false">IF(P447="","",TEXT(P447,"mm/yyyy"))</f>
        <v/>
      </c>
      <c r="X447" s="1" t="str">
        <f aca="false">IF(A447="","",IF(OR(R447="Fechado (Total)",R447="Fechado (Parcial)"),"Fechado|"&amp;SUMPRODUCT((($R$2:R447="Fechado (Total)")+($R$2:R447="Fechado (Parcial)"))*($A$2:A447&lt;&gt;"")),""))</f>
        <v/>
      </c>
      <c r="Y447" s="1" t="str">
        <f aca="false">IF(A447="","",IF(D447="Indicação",SUMPRODUCT(($D$2:D447="Indicação")*($A$2:A447&lt;&gt;"")),""))</f>
        <v/>
      </c>
      <c r="Z447" s="1" t="str">
        <f aca="false">IF(Y447="","","Indicacao|"&amp;Y447)</f>
        <v/>
      </c>
      <c r="AA447" s="1" t="str">
        <f aca="false">IF(I447="","",TEXT(I447,"mm/yyyy"))</f>
        <v/>
      </c>
    </row>
    <row r="448" customFormat="false" ht="15.75" hidden="false" customHeight="true" outlineLevel="0" collapsed="false">
      <c r="G448" s="19"/>
      <c r="I448" s="19"/>
      <c r="P448" s="19"/>
      <c r="R448" s="1" t="str">
        <f aca="false">IF(N448="Sim","Fechado (Total)",IF(N448="Parcial","Fechado (Parcial)",IF(N448="Não","Perdido",IF(N448="Pendente","Pendente",IF(N448="Não precisa no momento","Não Precisa no Momento",IF(L448="Sim","Plano de Tratamento",IF(J448="Não","Não Compareceu",IF(J448="Sim","Compareceu",IF(H448="Não","Perdido",IF(H448="Sim","Consulta Marcada",IF(A448="","","Novo Paciente")))))))))))</f>
        <v/>
      </c>
      <c r="T448" s="1" t="str">
        <f aca="false">IF(A448="","",SUMPRODUCT(($R$2:R448=R448)*($A$2:A448&lt;&gt;"")))</f>
        <v/>
      </c>
      <c r="U448" s="1" t="str">
        <f aca="false">IF(A448="","",R448&amp;"|"&amp;T448)</f>
        <v/>
      </c>
      <c r="V448" s="1" t="str">
        <f aca="false">IF(G448="","",TEXT(G448,"mm/yyyy"))</f>
        <v/>
      </c>
      <c r="W448" s="1" t="str">
        <f aca="false">IF(P448="","",TEXT(P448,"mm/yyyy"))</f>
        <v/>
      </c>
      <c r="X448" s="1" t="str">
        <f aca="false">IF(A448="","",IF(OR(R448="Fechado (Total)",R448="Fechado (Parcial)"),"Fechado|"&amp;SUMPRODUCT((($R$2:R448="Fechado (Total)")+($R$2:R448="Fechado (Parcial)"))*($A$2:A448&lt;&gt;"")),""))</f>
        <v/>
      </c>
      <c r="Y448" s="1" t="str">
        <f aca="false">IF(A448="","",IF(D448="Indicação",SUMPRODUCT(($D$2:D448="Indicação")*($A$2:A448&lt;&gt;"")),""))</f>
        <v/>
      </c>
      <c r="Z448" s="1" t="str">
        <f aca="false">IF(Y448="","","Indicacao|"&amp;Y448)</f>
        <v/>
      </c>
      <c r="AA448" s="1" t="str">
        <f aca="false">IF(I448="","",TEXT(I448,"mm/yyyy"))</f>
        <v/>
      </c>
    </row>
    <row r="449" customFormat="false" ht="15.75" hidden="false" customHeight="true" outlineLevel="0" collapsed="false">
      <c r="G449" s="19"/>
      <c r="I449" s="19"/>
      <c r="P449" s="19"/>
      <c r="R449" s="1" t="str">
        <f aca="false">IF(N449="Sim","Fechado (Total)",IF(N449="Parcial","Fechado (Parcial)",IF(N449="Não","Perdido",IF(N449="Pendente","Pendente",IF(N449="Não precisa no momento","Não Precisa no Momento",IF(L449="Sim","Plano de Tratamento",IF(J449="Não","Não Compareceu",IF(J449="Sim","Compareceu",IF(H449="Não","Perdido",IF(H449="Sim","Consulta Marcada",IF(A449="","","Novo Paciente")))))))))))</f>
        <v/>
      </c>
      <c r="T449" s="1" t="str">
        <f aca="false">IF(A449="","",SUMPRODUCT(($R$2:R449=R449)*($A$2:A449&lt;&gt;"")))</f>
        <v/>
      </c>
      <c r="U449" s="1" t="str">
        <f aca="false">IF(A449="","",R449&amp;"|"&amp;T449)</f>
        <v/>
      </c>
      <c r="V449" s="1" t="str">
        <f aca="false">IF(G449="","",TEXT(G449,"mm/yyyy"))</f>
        <v/>
      </c>
      <c r="W449" s="1" t="str">
        <f aca="false">IF(P449="","",TEXT(P449,"mm/yyyy"))</f>
        <v/>
      </c>
      <c r="X449" s="1" t="str">
        <f aca="false">IF(A449="","",IF(OR(R449="Fechado (Total)",R449="Fechado (Parcial)"),"Fechado|"&amp;SUMPRODUCT((($R$2:R449="Fechado (Total)")+($R$2:R449="Fechado (Parcial)"))*($A$2:A449&lt;&gt;"")),""))</f>
        <v/>
      </c>
      <c r="Y449" s="1" t="str">
        <f aca="false">IF(A449="","",IF(D449="Indicação",SUMPRODUCT(($D$2:D449="Indicação")*($A$2:A449&lt;&gt;"")),""))</f>
        <v/>
      </c>
      <c r="Z449" s="1" t="str">
        <f aca="false">IF(Y449="","","Indicacao|"&amp;Y449)</f>
        <v/>
      </c>
      <c r="AA449" s="1" t="str">
        <f aca="false">IF(I449="","",TEXT(I449,"mm/yyyy"))</f>
        <v/>
      </c>
    </row>
    <row r="450" customFormat="false" ht="15.75" hidden="false" customHeight="true" outlineLevel="0" collapsed="false">
      <c r="G450" s="19"/>
      <c r="I450" s="19"/>
      <c r="P450" s="19"/>
      <c r="R450" s="1" t="str">
        <f aca="false">IF(N450="Sim","Fechado (Total)",IF(N450="Parcial","Fechado (Parcial)",IF(N450="Não","Perdido",IF(N450="Pendente","Pendente",IF(N450="Não precisa no momento","Não Precisa no Momento",IF(L450="Sim","Plano de Tratamento",IF(J450="Não","Não Compareceu",IF(J450="Sim","Compareceu",IF(H450="Não","Perdido",IF(H450="Sim","Consulta Marcada",IF(A450="","","Novo Paciente")))))))))))</f>
        <v/>
      </c>
      <c r="T450" s="1" t="str">
        <f aca="false">IF(A450="","",SUMPRODUCT(($R$2:R450=R450)*($A$2:A450&lt;&gt;"")))</f>
        <v/>
      </c>
      <c r="U450" s="1" t="str">
        <f aca="false">IF(A450="","",R450&amp;"|"&amp;T450)</f>
        <v/>
      </c>
      <c r="V450" s="1" t="str">
        <f aca="false">IF(G450="","",TEXT(G450,"mm/yyyy"))</f>
        <v/>
      </c>
      <c r="W450" s="1" t="str">
        <f aca="false">IF(P450="","",TEXT(P450,"mm/yyyy"))</f>
        <v/>
      </c>
      <c r="X450" s="1" t="str">
        <f aca="false">IF(A450="","",IF(OR(R450="Fechado (Total)",R450="Fechado (Parcial)"),"Fechado|"&amp;SUMPRODUCT((($R$2:R450="Fechado (Total)")+($R$2:R450="Fechado (Parcial)"))*($A$2:A450&lt;&gt;"")),""))</f>
        <v/>
      </c>
      <c r="Y450" s="1" t="str">
        <f aca="false">IF(A450="","",IF(D450="Indicação",SUMPRODUCT(($D$2:D450="Indicação")*($A$2:A450&lt;&gt;"")),""))</f>
        <v/>
      </c>
      <c r="Z450" s="1" t="str">
        <f aca="false">IF(Y450="","","Indicacao|"&amp;Y450)</f>
        <v/>
      </c>
      <c r="AA450" s="1" t="str">
        <f aca="false">IF(I450="","",TEXT(I450,"mm/yyyy"))</f>
        <v/>
      </c>
    </row>
    <row r="451" customFormat="false" ht="15.75" hidden="false" customHeight="true" outlineLevel="0" collapsed="false">
      <c r="G451" s="19"/>
      <c r="I451" s="19"/>
      <c r="P451" s="19"/>
      <c r="R451" s="1" t="str">
        <f aca="false">IF(N451="Sim","Fechado (Total)",IF(N451="Parcial","Fechado (Parcial)",IF(N451="Não","Perdido",IF(N451="Pendente","Pendente",IF(N451="Não precisa no momento","Não Precisa no Momento",IF(L451="Sim","Plano de Tratamento",IF(J451="Não","Não Compareceu",IF(J451="Sim","Compareceu",IF(H451="Não","Perdido",IF(H451="Sim","Consulta Marcada",IF(A451="","","Novo Paciente")))))))))))</f>
        <v/>
      </c>
      <c r="T451" s="1" t="str">
        <f aca="false">IF(A451="","",SUMPRODUCT(($R$2:R451=R451)*($A$2:A451&lt;&gt;"")))</f>
        <v/>
      </c>
      <c r="U451" s="1" t="str">
        <f aca="false">IF(A451="","",R451&amp;"|"&amp;T451)</f>
        <v/>
      </c>
      <c r="V451" s="1" t="str">
        <f aca="false">IF(G451="","",TEXT(G451,"mm/yyyy"))</f>
        <v/>
      </c>
      <c r="W451" s="1" t="str">
        <f aca="false">IF(P451="","",TEXT(P451,"mm/yyyy"))</f>
        <v/>
      </c>
      <c r="X451" s="1" t="str">
        <f aca="false">IF(A451="","",IF(OR(R451="Fechado (Total)",R451="Fechado (Parcial)"),"Fechado|"&amp;SUMPRODUCT((($R$2:R451="Fechado (Total)")+($R$2:R451="Fechado (Parcial)"))*($A$2:A451&lt;&gt;"")),""))</f>
        <v/>
      </c>
      <c r="Y451" s="1" t="str">
        <f aca="false">IF(A451="","",IF(D451="Indicação",SUMPRODUCT(($D$2:D451="Indicação")*($A$2:A451&lt;&gt;"")),""))</f>
        <v/>
      </c>
      <c r="Z451" s="1" t="str">
        <f aca="false">IF(Y451="","","Indicacao|"&amp;Y451)</f>
        <v/>
      </c>
      <c r="AA451" s="1" t="str">
        <f aca="false">IF(I451="","",TEXT(I451,"mm/yyyy"))</f>
        <v/>
      </c>
    </row>
    <row r="452" customFormat="false" ht="15.75" hidden="false" customHeight="true" outlineLevel="0" collapsed="false">
      <c r="G452" s="19"/>
      <c r="I452" s="19"/>
      <c r="P452" s="19"/>
      <c r="R452" s="1" t="str">
        <f aca="false">IF(N452="Sim","Fechado (Total)",IF(N452="Parcial","Fechado (Parcial)",IF(N452="Não","Perdido",IF(N452="Pendente","Pendente",IF(N452="Não precisa no momento","Não Precisa no Momento",IF(L452="Sim","Plano de Tratamento",IF(J452="Não","Não Compareceu",IF(J452="Sim","Compareceu",IF(H452="Não","Perdido",IF(H452="Sim","Consulta Marcada",IF(A452="","","Novo Paciente")))))))))))</f>
        <v/>
      </c>
      <c r="T452" s="1" t="str">
        <f aca="false">IF(A452="","",SUMPRODUCT(($R$2:R452=R452)*($A$2:A452&lt;&gt;"")))</f>
        <v/>
      </c>
      <c r="U452" s="1" t="str">
        <f aca="false">IF(A452="","",R452&amp;"|"&amp;T452)</f>
        <v/>
      </c>
      <c r="V452" s="1" t="str">
        <f aca="false">IF(G452="","",TEXT(G452,"mm/yyyy"))</f>
        <v/>
      </c>
      <c r="W452" s="1" t="str">
        <f aca="false">IF(P452="","",TEXT(P452,"mm/yyyy"))</f>
        <v/>
      </c>
      <c r="X452" s="1" t="str">
        <f aca="false">IF(A452="","",IF(OR(R452="Fechado (Total)",R452="Fechado (Parcial)"),"Fechado|"&amp;SUMPRODUCT((($R$2:R452="Fechado (Total)")+($R$2:R452="Fechado (Parcial)"))*($A$2:A452&lt;&gt;"")),""))</f>
        <v/>
      </c>
      <c r="Y452" s="1" t="str">
        <f aca="false">IF(A452="","",IF(D452="Indicação",SUMPRODUCT(($D$2:D452="Indicação")*($A$2:A452&lt;&gt;"")),""))</f>
        <v/>
      </c>
      <c r="Z452" s="1" t="str">
        <f aca="false">IF(Y452="","","Indicacao|"&amp;Y452)</f>
        <v/>
      </c>
      <c r="AA452" s="1" t="str">
        <f aca="false">IF(I452="","",TEXT(I452,"mm/yyyy"))</f>
        <v/>
      </c>
    </row>
    <row r="453" customFormat="false" ht="15.75" hidden="false" customHeight="true" outlineLevel="0" collapsed="false">
      <c r="G453" s="19"/>
      <c r="I453" s="19"/>
      <c r="P453" s="19"/>
      <c r="R453" s="1" t="str">
        <f aca="false">IF(N453="Sim","Fechado (Total)",IF(N453="Parcial","Fechado (Parcial)",IF(N453="Não","Perdido",IF(N453="Pendente","Pendente",IF(N453="Não precisa no momento","Não Precisa no Momento",IF(L453="Sim","Plano de Tratamento",IF(J453="Não","Não Compareceu",IF(J453="Sim","Compareceu",IF(H453="Não","Perdido",IF(H453="Sim","Consulta Marcada",IF(A453="","","Novo Paciente")))))))))))</f>
        <v/>
      </c>
      <c r="T453" s="1" t="str">
        <f aca="false">IF(A453="","",SUMPRODUCT(($R$2:R453=R453)*($A$2:A453&lt;&gt;"")))</f>
        <v/>
      </c>
      <c r="U453" s="1" t="str">
        <f aca="false">IF(A453="","",R453&amp;"|"&amp;T453)</f>
        <v/>
      </c>
      <c r="V453" s="1" t="str">
        <f aca="false">IF(G453="","",TEXT(G453,"mm/yyyy"))</f>
        <v/>
      </c>
      <c r="W453" s="1" t="str">
        <f aca="false">IF(P453="","",TEXT(P453,"mm/yyyy"))</f>
        <v/>
      </c>
      <c r="X453" s="1" t="str">
        <f aca="false">IF(A453="","",IF(OR(R453="Fechado (Total)",R453="Fechado (Parcial)"),"Fechado|"&amp;SUMPRODUCT((($R$2:R453="Fechado (Total)")+($R$2:R453="Fechado (Parcial)"))*($A$2:A453&lt;&gt;"")),""))</f>
        <v/>
      </c>
      <c r="Y453" s="1" t="str">
        <f aca="false">IF(A453="","",IF(D453="Indicação",SUMPRODUCT(($D$2:D453="Indicação")*($A$2:A453&lt;&gt;"")),""))</f>
        <v/>
      </c>
      <c r="Z453" s="1" t="str">
        <f aca="false">IF(Y453="","","Indicacao|"&amp;Y453)</f>
        <v/>
      </c>
      <c r="AA453" s="1" t="str">
        <f aca="false">IF(I453="","",TEXT(I453,"mm/yyyy"))</f>
        <v/>
      </c>
    </row>
    <row r="454" customFormat="false" ht="15.75" hidden="false" customHeight="true" outlineLevel="0" collapsed="false">
      <c r="G454" s="19"/>
      <c r="I454" s="19"/>
      <c r="P454" s="19"/>
      <c r="R454" s="1" t="str">
        <f aca="false">IF(N454="Sim","Fechado (Total)",IF(N454="Parcial","Fechado (Parcial)",IF(N454="Não","Perdido",IF(N454="Pendente","Pendente",IF(N454="Não precisa no momento","Não Precisa no Momento",IF(L454="Sim","Plano de Tratamento",IF(J454="Não","Não Compareceu",IF(J454="Sim","Compareceu",IF(H454="Não","Perdido",IF(H454="Sim","Consulta Marcada",IF(A454="","","Novo Paciente")))))))))))</f>
        <v/>
      </c>
      <c r="T454" s="1" t="str">
        <f aca="false">IF(A454="","",SUMPRODUCT(($R$2:R454=R454)*($A$2:A454&lt;&gt;"")))</f>
        <v/>
      </c>
      <c r="U454" s="1" t="str">
        <f aca="false">IF(A454="","",R454&amp;"|"&amp;T454)</f>
        <v/>
      </c>
      <c r="V454" s="1" t="str">
        <f aca="false">IF(G454="","",TEXT(G454,"mm/yyyy"))</f>
        <v/>
      </c>
      <c r="W454" s="1" t="str">
        <f aca="false">IF(P454="","",TEXT(P454,"mm/yyyy"))</f>
        <v/>
      </c>
      <c r="X454" s="1" t="str">
        <f aca="false">IF(A454="","",IF(OR(R454="Fechado (Total)",R454="Fechado (Parcial)"),"Fechado|"&amp;SUMPRODUCT((($R$2:R454="Fechado (Total)")+($R$2:R454="Fechado (Parcial)"))*($A$2:A454&lt;&gt;"")),""))</f>
        <v/>
      </c>
      <c r="Y454" s="1" t="str">
        <f aca="false">IF(A454="","",IF(D454="Indicação",SUMPRODUCT(($D$2:D454="Indicação")*($A$2:A454&lt;&gt;"")),""))</f>
        <v/>
      </c>
      <c r="Z454" s="1" t="str">
        <f aca="false">IF(Y454="","","Indicacao|"&amp;Y454)</f>
        <v/>
      </c>
      <c r="AA454" s="1" t="str">
        <f aca="false">IF(I454="","",TEXT(I454,"mm/yyyy"))</f>
        <v/>
      </c>
    </row>
    <row r="455" customFormat="false" ht="15.75" hidden="false" customHeight="true" outlineLevel="0" collapsed="false">
      <c r="G455" s="19"/>
      <c r="I455" s="19"/>
      <c r="P455" s="19"/>
      <c r="R455" s="1" t="str">
        <f aca="false">IF(N455="Sim","Fechado (Total)",IF(N455="Parcial","Fechado (Parcial)",IF(N455="Não","Perdido",IF(N455="Pendente","Pendente",IF(N455="Não precisa no momento","Não Precisa no Momento",IF(L455="Sim","Plano de Tratamento",IF(J455="Não","Não Compareceu",IF(J455="Sim","Compareceu",IF(H455="Não","Perdido",IF(H455="Sim","Consulta Marcada",IF(A455="","","Novo Paciente")))))))))))</f>
        <v/>
      </c>
      <c r="T455" s="1" t="str">
        <f aca="false">IF(A455="","",SUMPRODUCT(($R$2:R455=R455)*($A$2:A455&lt;&gt;"")))</f>
        <v/>
      </c>
      <c r="U455" s="1" t="str">
        <f aca="false">IF(A455="","",R455&amp;"|"&amp;T455)</f>
        <v/>
      </c>
      <c r="V455" s="1" t="str">
        <f aca="false">IF(G455="","",TEXT(G455,"mm/yyyy"))</f>
        <v/>
      </c>
      <c r="W455" s="1" t="str">
        <f aca="false">IF(P455="","",TEXT(P455,"mm/yyyy"))</f>
        <v/>
      </c>
      <c r="X455" s="1" t="str">
        <f aca="false">IF(A455="","",IF(OR(R455="Fechado (Total)",R455="Fechado (Parcial)"),"Fechado|"&amp;SUMPRODUCT((($R$2:R455="Fechado (Total)")+($R$2:R455="Fechado (Parcial)"))*($A$2:A455&lt;&gt;"")),""))</f>
        <v/>
      </c>
      <c r="Y455" s="1" t="str">
        <f aca="false">IF(A455="","",IF(D455="Indicação",SUMPRODUCT(($D$2:D455="Indicação")*($A$2:A455&lt;&gt;"")),""))</f>
        <v/>
      </c>
      <c r="Z455" s="1" t="str">
        <f aca="false">IF(Y455="","","Indicacao|"&amp;Y455)</f>
        <v/>
      </c>
      <c r="AA455" s="1" t="str">
        <f aca="false">IF(I455="","",TEXT(I455,"mm/yyyy"))</f>
        <v/>
      </c>
    </row>
    <row r="456" customFormat="false" ht="15.75" hidden="false" customHeight="true" outlineLevel="0" collapsed="false">
      <c r="G456" s="19"/>
      <c r="I456" s="19"/>
      <c r="P456" s="19"/>
      <c r="R456" s="1" t="str">
        <f aca="false">IF(N456="Sim","Fechado (Total)",IF(N456="Parcial","Fechado (Parcial)",IF(N456="Não","Perdido",IF(N456="Pendente","Pendente",IF(N456="Não precisa no momento","Não Precisa no Momento",IF(L456="Sim","Plano de Tratamento",IF(J456="Não","Não Compareceu",IF(J456="Sim","Compareceu",IF(H456="Não","Perdido",IF(H456="Sim","Consulta Marcada",IF(A456="","","Novo Paciente")))))))))))</f>
        <v/>
      </c>
      <c r="T456" s="1" t="str">
        <f aca="false">IF(A456="","",SUMPRODUCT(($R$2:R456=R456)*($A$2:A456&lt;&gt;"")))</f>
        <v/>
      </c>
      <c r="U456" s="1" t="str">
        <f aca="false">IF(A456="","",R456&amp;"|"&amp;T456)</f>
        <v/>
      </c>
      <c r="V456" s="1" t="str">
        <f aca="false">IF(G456="","",TEXT(G456,"mm/yyyy"))</f>
        <v/>
      </c>
      <c r="W456" s="1" t="str">
        <f aca="false">IF(P456="","",TEXT(P456,"mm/yyyy"))</f>
        <v/>
      </c>
      <c r="X456" s="1" t="str">
        <f aca="false">IF(A456="","",IF(OR(R456="Fechado (Total)",R456="Fechado (Parcial)"),"Fechado|"&amp;SUMPRODUCT((($R$2:R456="Fechado (Total)")+($R$2:R456="Fechado (Parcial)"))*($A$2:A456&lt;&gt;"")),""))</f>
        <v/>
      </c>
      <c r="Y456" s="1" t="str">
        <f aca="false">IF(A456="","",IF(D456="Indicação",SUMPRODUCT(($D$2:D456="Indicação")*($A$2:A456&lt;&gt;"")),""))</f>
        <v/>
      </c>
      <c r="Z456" s="1" t="str">
        <f aca="false">IF(Y456="","","Indicacao|"&amp;Y456)</f>
        <v/>
      </c>
      <c r="AA456" s="1" t="str">
        <f aca="false">IF(I456="","",TEXT(I456,"mm/yyyy"))</f>
        <v/>
      </c>
    </row>
    <row r="457" customFormat="false" ht="15.75" hidden="false" customHeight="true" outlineLevel="0" collapsed="false">
      <c r="G457" s="19"/>
      <c r="I457" s="19"/>
      <c r="P457" s="19"/>
      <c r="R457" s="1" t="str">
        <f aca="false">IF(N457="Sim","Fechado (Total)",IF(N457="Parcial","Fechado (Parcial)",IF(N457="Não","Perdido",IF(N457="Pendente","Pendente",IF(N457="Não precisa no momento","Não Precisa no Momento",IF(L457="Sim","Plano de Tratamento",IF(J457="Não","Não Compareceu",IF(J457="Sim","Compareceu",IF(H457="Não","Perdido",IF(H457="Sim","Consulta Marcada",IF(A457="","","Novo Paciente")))))))))))</f>
        <v/>
      </c>
      <c r="T457" s="1" t="str">
        <f aca="false">IF(A457="","",SUMPRODUCT(($R$2:R457=R457)*($A$2:A457&lt;&gt;"")))</f>
        <v/>
      </c>
      <c r="U457" s="1" t="str">
        <f aca="false">IF(A457="","",R457&amp;"|"&amp;T457)</f>
        <v/>
      </c>
      <c r="V457" s="1" t="str">
        <f aca="false">IF(G457="","",TEXT(G457,"mm/yyyy"))</f>
        <v/>
      </c>
      <c r="W457" s="1" t="str">
        <f aca="false">IF(P457="","",TEXT(P457,"mm/yyyy"))</f>
        <v/>
      </c>
      <c r="X457" s="1" t="str">
        <f aca="false">IF(A457="","",IF(OR(R457="Fechado (Total)",R457="Fechado (Parcial)"),"Fechado|"&amp;SUMPRODUCT((($R$2:R457="Fechado (Total)")+($R$2:R457="Fechado (Parcial)"))*($A$2:A457&lt;&gt;"")),""))</f>
        <v/>
      </c>
      <c r="Y457" s="1" t="str">
        <f aca="false">IF(A457="","",IF(D457="Indicação",SUMPRODUCT(($D$2:D457="Indicação")*($A$2:A457&lt;&gt;"")),""))</f>
        <v/>
      </c>
      <c r="Z457" s="1" t="str">
        <f aca="false">IF(Y457="","","Indicacao|"&amp;Y457)</f>
        <v/>
      </c>
      <c r="AA457" s="1" t="str">
        <f aca="false">IF(I457="","",TEXT(I457,"mm/yyyy"))</f>
        <v/>
      </c>
    </row>
    <row r="458" customFormat="false" ht="15.75" hidden="false" customHeight="true" outlineLevel="0" collapsed="false">
      <c r="G458" s="19"/>
      <c r="I458" s="19"/>
      <c r="P458" s="19"/>
      <c r="R458" s="1" t="str">
        <f aca="false">IF(N458="Sim","Fechado (Total)",IF(N458="Parcial","Fechado (Parcial)",IF(N458="Não","Perdido",IF(N458="Pendente","Pendente",IF(N458="Não precisa no momento","Não Precisa no Momento",IF(L458="Sim","Plano de Tratamento",IF(J458="Não","Não Compareceu",IF(J458="Sim","Compareceu",IF(H458="Não","Perdido",IF(H458="Sim","Consulta Marcada",IF(A458="","","Novo Paciente")))))))))))</f>
        <v/>
      </c>
      <c r="T458" s="1" t="str">
        <f aca="false">IF(A458="","",SUMPRODUCT(($R$2:R458=R458)*($A$2:A458&lt;&gt;"")))</f>
        <v/>
      </c>
      <c r="U458" s="1" t="str">
        <f aca="false">IF(A458="","",R458&amp;"|"&amp;T458)</f>
        <v/>
      </c>
      <c r="V458" s="1" t="str">
        <f aca="false">IF(G458="","",TEXT(G458,"mm/yyyy"))</f>
        <v/>
      </c>
      <c r="W458" s="1" t="str">
        <f aca="false">IF(P458="","",TEXT(P458,"mm/yyyy"))</f>
        <v/>
      </c>
      <c r="X458" s="1" t="str">
        <f aca="false">IF(A458="","",IF(OR(R458="Fechado (Total)",R458="Fechado (Parcial)"),"Fechado|"&amp;SUMPRODUCT((($R$2:R458="Fechado (Total)")+($R$2:R458="Fechado (Parcial)"))*($A$2:A458&lt;&gt;"")),""))</f>
        <v/>
      </c>
      <c r="Y458" s="1" t="str">
        <f aca="false">IF(A458="","",IF(D458="Indicação",SUMPRODUCT(($D$2:D458="Indicação")*($A$2:A458&lt;&gt;"")),""))</f>
        <v/>
      </c>
      <c r="Z458" s="1" t="str">
        <f aca="false">IF(Y458="","","Indicacao|"&amp;Y458)</f>
        <v/>
      </c>
      <c r="AA458" s="1" t="str">
        <f aca="false">IF(I458="","",TEXT(I458,"mm/yyyy"))</f>
        <v/>
      </c>
    </row>
    <row r="459" customFormat="false" ht="15.75" hidden="false" customHeight="true" outlineLevel="0" collapsed="false">
      <c r="G459" s="19"/>
      <c r="I459" s="19"/>
      <c r="P459" s="19"/>
      <c r="R459" s="1" t="str">
        <f aca="false">IF(N459="Sim","Fechado (Total)",IF(N459="Parcial","Fechado (Parcial)",IF(N459="Não","Perdido",IF(N459="Pendente","Pendente",IF(N459="Não precisa no momento","Não Precisa no Momento",IF(L459="Sim","Plano de Tratamento",IF(J459="Não","Não Compareceu",IF(J459="Sim","Compareceu",IF(H459="Não","Perdido",IF(H459="Sim","Consulta Marcada",IF(A459="","","Novo Paciente")))))))))))</f>
        <v/>
      </c>
      <c r="T459" s="1" t="str">
        <f aca="false">IF(A459="","",SUMPRODUCT(($R$2:R459=R459)*($A$2:A459&lt;&gt;"")))</f>
        <v/>
      </c>
      <c r="U459" s="1" t="str">
        <f aca="false">IF(A459="","",R459&amp;"|"&amp;T459)</f>
        <v/>
      </c>
      <c r="V459" s="1" t="str">
        <f aca="false">IF(G459="","",TEXT(G459,"mm/yyyy"))</f>
        <v/>
      </c>
      <c r="W459" s="1" t="str">
        <f aca="false">IF(P459="","",TEXT(P459,"mm/yyyy"))</f>
        <v/>
      </c>
      <c r="X459" s="1" t="str">
        <f aca="false">IF(A459="","",IF(OR(R459="Fechado (Total)",R459="Fechado (Parcial)"),"Fechado|"&amp;SUMPRODUCT((($R$2:R459="Fechado (Total)")+($R$2:R459="Fechado (Parcial)"))*($A$2:A459&lt;&gt;"")),""))</f>
        <v/>
      </c>
      <c r="Y459" s="1" t="str">
        <f aca="false">IF(A459="","",IF(D459="Indicação",SUMPRODUCT(($D$2:D459="Indicação")*($A$2:A459&lt;&gt;"")),""))</f>
        <v/>
      </c>
      <c r="Z459" s="1" t="str">
        <f aca="false">IF(Y459="","","Indicacao|"&amp;Y459)</f>
        <v/>
      </c>
      <c r="AA459" s="1" t="str">
        <f aca="false">IF(I459="","",TEXT(I459,"mm/yyyy"))</f>
        <v/>
      </c>
    </row>
    <row r="460" customFormat="false" ht="15.75" hidden="false" customHeight="true" outlineLevel="0" collapsed="false">
      <c r="G460" s="19"/>
      <c r="I460" s="19"/>
      <c r="P460" s="19"/>
      <c r="R460" s="1" t="str">
        <f aca="false">IF(N460="Sim","Fechado (Total)",IF(N460="Parcial","Fechado (Parcial)",IF(N460="Não","Perdido",IF(N460="Pendente","Pendente",IF(N460="Não precisa no momento","Não Precisa no Momento",IF(L460="Sim","Plano de Tratamento",IF(J460="Não","Não Compareceu",IF(J460="Sim","Compareceu",IF(H460="Não","Perdido",IF(H460="Sim","Consulta Marcada",IF(A460="","","Novo Paciente")))))))))))</f>
        <v/>
      </c>
      <c r="T460" s="1" t="str">
        <f aca="false">IF(A460="","",SUMPRODUCT(($R$2:R460=R460)*($A$2:A460&lt;&gt;"")))</f>
        <v/>
      </c>
      <c r="U460" s="1" t="str">
        <f aca="false">IF(A460="","",R460&amp;"|"&amp;T460)</f>
        <v/>
      </c>
      <c r="V460" s="1" t="str">
        <f aca="false">IF(G460="","",TEXT(G460,"mm/yyyy"))</f>
        <v/>
      </c>
      <c r="W460" s="1" t="str">
        <f aca="false">IF(P460="","",TEXT(P460,"mm/yyyy"))</f>
        <v/>
      </c>
      <c r="X460" s="1" t="str">
        <f aca="false">IF(A460="","",IF(OR(R460="Fechado (Total)",R460="Fechado (Parcial)"),"Fechado|"&amp;SUMPRODUCT((($R$2:R460="Fechado (Total)")+($R$2:R460="Fechado (Parcial)"))*($A$2:A460&lt;&gt;"")),""))</f>
        <v/>
      </c>
      <c r="Y460" s="1" t="str">
        <f aca="false">IF(A460="","",IF(D460="Indicação",SUMPRODUCT(($D$2:D460="Indicação")*($A$2:A460&lt;&gt;"")),""))</f>
        <v/>
      </c>
      <c r="Z460" s="1" t="str">
        <f aca="false">IF(Y460="","","Indicacao|"&amp;Y460)</f>
        <v/>
      </c>
      <c r="AA460" s="1" t="str">
        <f aca="false">IF(I460="","",TEXT(I460,"mm/yyyy"))</f>
        <v/>
      </c>
    </row>
    <row r="461" customFormat="false" ht="15.75" hidden="false" customHeight="true" outlineLevel="0" collapsed="false">
      <c r="G461" s="19"/>
      <c r="I461" s="19"/>
      <c r="P461" s="19"/>
      <c r="R461" s="1" t="str">
        <f aca="false">IF(N461="Sim","Fechado (Total)",IF(N461="Parcial","Fechado (Parcial)",IF(N461="Não","Perdido",IF(N461="Pendente","Pendente",IF(N461="Não precisa no momento","Não Precisa no Momento",IF(L461="Sim","Plano de Tratamento",IF(J461="Não","Não Compareceu",IF(J461="Sim","Compareceu",IF(H461="Não","Perdido",IF(H461="Sim","Consulta Marcada",IF(A461="","","Novo Paciente")))))))))))</f>
        <v/>
      </c>
      <c r="T461" s="1" t="str">
        <f aca="false">IF(A461="","",SUMPRODUCT(($R$2:R461=R461)*($A$2:A461&lt;&gt;"")))</f>
        <v/>
      </c>
      <c r="U461" s="1" t="str">
        <f aca="false">IF(A461="","",R461&amp;"|"&amp;T461)</f>
        <v/>
      </c>
      <c r="V461" s="1" t="str">
        <f aca="false">IF(G461="","",TEXT(G461,"mm/yyyy"))</f>
        <v/>
      </c>
      <c r="W461" s="1" t="str">
        <f aca="false">IF(P461="","",TEXT(P461,"mm/yyyy"))</f>
        <v/>
      </c>
      <c r="X461" s="1" t="str">
        <f aca="false">IF(A461="","",IF(OR(R461="Fechado (Total)",R461="Fechado (Parcial)"),"Fechado|"&amp;SUMPRODUCT((($R$2:R461="Fechado (Total)")+($R$2:R461="Fechado (Parcial)"))*($A$2:A461&lt;&gt;"")),""))</f>
        <v/>
      </c>
      <c r="Y461" s="1" t="str">
        <f aca="false">IF(A461="","",IF(D461="Indicação",SUMPRODUCT(($D$2:D461="Indicação")*($A$2:A461&lt;&gt;"")),""))</f>
        <v/>
      </c>
      <c r="Z461" s="1" t="str">
        <f aca="false">IF(Y461="","","Indicacao|"&amp;Y461)</f>
        <v/>
      </c>
      <c r="AA461" s="1" t="str">
        <f aca="false">IF(I461="","",TEXT(I461,"mm/yyyy"))</f>
        <v/>
      </c>
    </row>
    <row r="462" customFormat="false" ht="15.75" hidden="false" customHeight="true" outlineLevel="0" collapsed="false">
      <c r="G462" s="19"/>
      <c r="I462" s="19"/>
      <c r="P462" s="19"/>
      <c r="R462" s="1" t="str">
        <f aca="false">IF(N462="Sim","Fechado (Total)",IF(N462="Parcial","Fechado (Parcial)",IF(N462="Não","Perdido",IF(N462="Pendente","Pendente",IF(N462="Não precisa no momento","Não Precisa no Momento",IF(L462="Sim","Plano de Tratamento",IF(J462="Não","Não Compareceu",IF(J462="Sim","Compareceu",IF(H462="Não","Perdido",IF(H462="Sim","Consulta Marcada",IF(A462="","","Novo Paciente")))))))))))</f>
        <v/>
      </c>
      <c r="T462" s="1" t="str">
        <f aca="false">IF(A462="","",SUMPRODUCT(($R$2:R462=R462)*($A$2:A462&lt;&gt;"")))</f>
        <v/>
      </c>
      <c r="U462" s="1" t="str">
        <f aca="false">IF(A462="","",R462&amp;"|"&amp;T462)</f>
        <v/>
      </c>
      <c r="V462" s="1" t="str">
        <f aca="false">IF(G462="","",TEXT(G462,"mm/yyyy"))</f>
        <v/>
      </c>
      <c r="W462" s="1" t="str">
        <f aca="false">IF(P462="","",TEXT(P462,"mm/yyyy"))</f>
        <v/>
      </c>
      <c r="X462" s="1" t="str">
        <f aca="false">IF(A462="","",IF(OR(R462="Fechado (Total)",R462="Fechado (Parcial)"),"Fechado|"&amp;SUMPRODUCT((($R$2:R462="Fechado (Total)")+($R$2:R462="Fechado (Parcial)"))*($A$2:A462&lt;&gt;"")),""))</f>
        <v/>
      </c>
      <c r="Y462" s="1" t="str">
        <f aca="false">IF(A462="","",IF(D462="Indicação",SUMPRODUCT(($D$2:D462="Indicação")*($A$2:A462&lt;&gt;"")),""))</f>
        <v/>
      </c>
      <c r="Z462" s="1" t="str">
        <f aca="false">IF(Y462="","","Indicacao|"&amp;Y462)</f>
        <v/>
      </c>
      <c r="AA462" s="1" t="str">
        <f aca="false">IF(I462="","",TEXT(I462,"mm/yyyy"))</f>
        <v/>
      </c>
    </row>
    <row r="463" customFormat="false" ht="15.75" hidden="false" customHeight="true" outlineLevel="0" collapsed="false">
      <c r="G463" s="19"/>
      <c r="I463" s="19"/>
      <c r="P463" s="19"/>
      <c r="R463" s="1" t="str">
        <f aca="false">IF(N463="Sim","Fechado (Total)",IF(N463="Parcial","Fechado (Parcial)",IF(N463="Não","Perdido",IF(N463="Pendente","Pendente",IF(N463="Não precisa no momento","Não Precisa no Momento",IF(L463="Sim","Plano de Tratamento",IF(J463="Não","Não Compareceu",IF(J463="Sim","Compareceu",IF(H463="Não","Perdido",IF(H463="Sim","Consulta Marcada",IF(A463="","","Novo Paciente")))))))))))</f>
        <v/>
      </c>
      <c r="T463" s="1" t="str">
        <f aca="false">IF(A463="","",SUMPRODUCT(($R$2:R463=R463)*($A$2:A463&lt;&gt;"")))</f>
        <v/>
      </c>
      <c r="U463" s="1" t="str">
        <f aca="false">IF(A463="","",R463&amp;"|"&amp;T463)</f>
        <v/>
      </c>
      <c r="V463" s="1" t="str">
        <f aca="false">IF(G463="","",TEXT(G463,"mm/yyyy"))</f>
        <v/>
      </c>
      <c r="W463" s="1" t="str">
        <f aca="false">IF(P463="","",TEXT(P463,"mm/yyyy"))</f>
        <v/>
      </c>
      <c r="X463" s="1" t="str">
        <f aca="false">IF(A463="","",IF(OR(R463="Fechado (Total)",R463="Fechado (Parcial)"),"Fechado|"&amp;SUMPRODUCT((($R$2:R463="Fechado (Total)")+($R$2:R463="Fechado (Parcial)"))*($A$2:A463&lt;&gt;"")),""))</f>
        <v/>
      </c>
      <c r="Y463" s="1" t="str">
        <f aca="false">IF(A463="","",IF(D463="Indicação",SUMPRODUCT(($D$2:D463="Indicação")*($A$2:A463&lt;&gt;"")),""))</f>
        <v/>
      </c>
      <c r="Z463" s="1" t="str">
        <f aca="false">IF(Y463="","","Indicacao|"&amp;Y463)</f>
        <v/>
      </c>
      <c r="AA463" s="1" t="str">
        <f aca="false">IF(I463="","",TEXT(I463,"mm/yyyy"))</f>
        <v/>
      </c>
    </row>
    <row r="464" customFormat="false" ht="15.75" hidden="false" customHeight="true" outlineLevel="0" collapsed="false">
      <c r="G464" s="19"/>
      <c r="I464" s="19"/>
      <c r="P464" s="19"/>
      <c r="R464" s="1" t="str">
        <f aca="false">IF(N464="Sim","Fechado (Total)",IF(N464="Parcial","Fechado (Parcial)",IF(N464="Não","Perdido",IF(N464="Pendente","Pendente",IF(N464="Não precisa no momento","Não Precisa no Momento",IF(L464="Sim","Plano de Tratamento",IF(J464="Não","Não Compareceu",IF(J464="Sim","Compareceu",IF(H464="Não","Perdido",IF(H464="Sim","Consulta Marcada",IF(A464="","","Novo Paciente")))))))))))</f>
        <v/>
      </c>
      <c r="T464" s="1" t="str">
        <f aca="false">IF(A464="","",SUMPRODUCT(($R$2:R464=R464)*($A$2:A464&lt;&gt;"")))</f>
        <v/>
      </c>
      <c r="U464" s="1" t="str">
        <f aca="false">IF(A464="","",R464&amp;"|"&amp;T464)</f>
        <v/>
      </c>
      <c r="V464" s="1" t="str">
        <f aca="false">IF(G464="","",TEXT(G464,"mm/yyyy"))</f>
        <v/>
      </c>
      <c r="W464" s="1" t="str">
        <f aca="false">IF(P464="","",TEXT(P464,"mm/yyyy"))</f>
        <v/>
      </c>
      <c r="X464" s="1" t="str">
        <f aca="false">IF(A464="","",IF(OR(R464="Fechado (Total)",R464="Fechado (Parcial)"),"Fechado|"&amp;SUMPRODUCT((($R$2:R464="Fechado (Total)")+($R$2:R464="Fechado (Parcial)"))*($A$2:A464&lt;&gt;"")),""))</f>
        <v/>
      </c>
      <c r="Y464" s="1" t="str">
        <f aca="false">IF(A464="","",IF(D464="Indicação",SUMPRODUCT(($D$2:D464="Indicação")*($A$2:A464&lt;&gt;"")),""))</f>
        <v/>
      </c>
      <c r="Z464" s="1" t="str">
        <f aca="false">IF(Y464="","","Indicacao|"&amp;Y464)</f>
        <v/>
      </c>
      <c r="AA464" s="1" t="str">
        <f aca="false">IF(I464="","",TEXT(I464,"mm/yyyy"))</f>
        <v/>
      </c>
    </row>
    <row r="465" customFormat="false" ht="15.75" hidden="false" customHeight="true" outlineLevel="0" collapsed="false">
      <c r="G465" s="19"/>
      <c r="I465" s="19"/>
      <c r="P465" s="19"/>
      <c r="R465" s="1" t="str">
        <f aca="false">IF(N465="Sim","Fechado (Total)",IF(N465="Parcial","Fechado (Parcial)",IF(N465="Não","Perdido",IF(N465="Pendente","Pendente",IF(N465="Não precisa no momento","Não Precisa no Momento",IF(L465="Sim","Plano de Tratamento",IF(J465="Não","Não Compareceu",IF(J465="Sim","Compareceu",IF(H465="Não","Perdido",IF(H465="Sim","Consulta Marcada",IF(A465="","","Novo Paciente")))))))))))</f>
        <v/>
      </c>
      <c r="T465" s="1" t="str">
        <f aca="false">IF(A465="","",SUMPRODUCT(($R$2:R465=R465)*($A$2:A465&lt;&gt;"")))</f>
        <v/>
      </c>
      <c r="U465" s="1" t="str">
        <f aca="false">IF(A465="","",R465&amp;"|"&amp;T465)</f>
        <v/>
      </c>
      <c r="V465" s="1" t="str">
        <f aca="false">IF(G465="","",TEXT(G465,"mm/yyyy"))</f>
        <v/>
      </c>
      <c r="W465" s="1" t="str">
        <f aca="false">IF(P465="","",TEXT(P465,"mm/yyyy"))</f>
        <v/>
      </c>
      <c r="X465" s="1" t="str">
        <f aca="false">IF(A465="","",IF(OR(R465="Fechado (Total)",R465="Fechado (Parcial)"),"Fechado|"&amp;SUMPRODUCT((($R$2:R465="Fechado (Total)")+($R$2:R465="Fechado (Parcial)"))*($A$2:A465&lt;&gt;"")),""))</f>
        <v/>
      </c>
      <c r="Y465" s="1" t="str">
        <f aca="false">IF(A465="","",IF(D465="Indicação",SUMPRODUCT(($D$2:D465="Indicação")*($A$2:A465&lt;&gt;"")),""))</f>
        <v/>
      </c>
      <c r="Z465" s="1" t="str">
        <f aca="false">IF(Y465="","","Indicacao|"&amp;Y465)</f>
        <v/>
      </c>
      <c r="AA465" s="1" t="str">
        <f aca="false">IF(I465="","",TEXT(I465,"mm/yyyy"))</f>
        <v/>
      </c>
    </row>
    <row r="466" customFormat="false" ht="15.75" hidden="false" customHeight="true" outlineLevel="0" collapsed="false">
      <c r="G466" s="19"/>
      <c r="I466" s="19"/>
      <c r="P466" s="19"/>
      <c r="R466" s="1" t="str">
        <f aca="false">IF(N466="Sim","Fechado (Total)",IF(N466="Parcial","Fechado (Parcial)",IF(N466="Não","Perdido",IF(N466="Pendente","Pendente",IF(N466="Não precisa no momento","Não Precisa no Momento",IF(L466="Sim","Plano de Tratamento",IF(J466="Não","Não Compareceu",IF(J466="Sim","Compareceu",IF(H466="Não","Perdido",IF(H466="Sim","Consulta Marcada",IF(A466="","","Novo Paciente")))))))))))</f>
        <v/>
      </c>
      <c r="T466" s="1" t="str">
        <f aca="false">IF(A466="","",SUMPRODUCT(($R$2:R466=R466)*($A$2:A466&lt;&gt;"")))</f>
        <v/>
      </c>
      <c r="U466" s="1" t="str">
        <f aca="false">IF(A466="","",R466&amp;"|"&amp;T466)</f>
        <v/>
      </c>
      <c r="V466" s="1" t="str">
        <f aca="false">IF(G466="","",TEXT(G466,"mm/yyyy"))</f>
        <v/>
      </c>
      <c r="W466" s="1" t="str">
        <f aca="false">IF(P466="","",TEXT(P466,"mm/yyyy"))</f>
        <v/>
      </c>
      <c r="X466" s="1" t="str">
        <f aca="false">IF(A466="","",IF(OR(R466="Fechado (Total)",R466="Fechado (Parcial)"),"Fechado|"&amp;SUMPRODUCT((($R$2:R466="Fechado (Total)")+($R$2:R466="Fechado (Parcial)"))*($A$2:A466&lt;&gt;"")),""))</f>
        <v/>
      </c>
      <c r="Y466" s="1" t="str">
        <f aca="false">IF(A466="","",IF(D466="Indicação",SUMPRODUCT(($D$2:D466="Indicação")*($A$2:A466&lt;&gt;"")),""))</f>
        <v/>
      </c>
      <c r="Z466" s="1" t="str">
        <f aca="false">IF(Y466="","","Indicacao|"&amp;Y466)</f>
        <v/>
      </c>
      <c r="AA466" s="1" t="str">
        <f aca="false">IF(I466="","",TEXT(I466,"mm/yyyy"))</f>
        <v/>
      </c>
    </row>
    <row r="467" customFormat="false" ht="15.75" hidden="false" customHeight="true" outlineLevel="0" collapsed="false">
      <c r="G467" s="19"/>
      <c r="I467" s="19"/>
      <c r="P467" s="19"/>
      <c r="R467" s="1" t="str">
        <f aca="false">IF(N467="Sim","Fechado (Total)",IF(N467="Parcial","Fechado (Parcial)",IF(N467="Não","Perdido",IF(N467="Pendente","Pendente",IF(N467="Não precisa no momento","Não Precisa no Momento",IF(L467="Sim","Plano de Tratamento",IF(J467="Não","Não Compareceu",IF(J467="Sim","Compareceu",IF(H467="Não","Perdido",IF(H467="Sim","Consulta Marcada",IF(A467="","","Novo Paciente")))))))))))</f>
        <v/>
      </c>
      <c r="T467" s="1" t="str">
        <f aca="false">IF(A467="","",SUMPRODUCT(($R$2:R467=R467)*($A$2:A467&lt;&gt;"")))</f>
        <v/>
      </c>
      <c r="U467" s="1" t="str">
        <f aca="false">IF(A467="","",R467&amp;"|"&amp;T467)</f>
        <v/>
      </c>
      <c r="V467" s="1" t="str">
        <f aca="false">IF(G467="","",TEXT(G467,"mm/yyyy"))</f>
        <v/>
      </c>
      <c r="W467" s="1" t="str">
        <f aca="false">IF(P467="","",TEXT(P467,"mm/yyyy"))</f>
        <v/>
      </c>
      <c r="X467" s="1" t="str">
        <f aca="false">IF(A467="","",IF(OR(R467="Fechado (Total)",R467="Fechado (Parcial)"),"Fechado|"&amp;SUMPRODUCT((($R$2:R467="Fechado (Total)")+($R$2:R467="Fechado (Parcial)"))*($A$2:A467&lt;&gt;"")),""))</f>
        <v/>
      </c>
      <c r="Y467" s="1" t="str">
        <f aca="false">IF(A467="","",IF(D467="Indicação",SUMPRODUCT(($D$2:D467="Indicação")*($A$2:A467&lt;&gt;"")),""))</f>
        <v/>
      </c>
      <c r="Z467" s="1" t="str">
        <f aca="false">IF(Y467="","","Indicacao|"&amp;Y467)</f>
        <v/>
      </c>
      <c r="AA467" s="1" t="str">
        <f aca="false">IF(I467="","",TEXT(I467,"mm/yyyy"))</f>
        <v/>
      </c>
    </row>
    <row r="468" customFormat="false" ht="15.75" hidden="false" customHeight="true" outlineLevel="0" collapsed="false">
      <c r="G468" s="19"/>
      <c r="I468" s="19"/>
      <c r="P468" s="19"/>
      <c r="R468" s="1" t="str">
        <f aca="false">IF(N468="Sim","Fechado (Total)",IF(N468="Parcial","Fechado (Parcial)",IF(N468="Não","Perdido",IF(N468="Pendente","Pendente",IF(N468="Não precisa no momento","Não Precisa no Momento",IF(L468="Sim","Plano de Tratamento",IF(J468="Não","Não Compareceu",IF(J468="Sim","Compareceu",IF(H468="Não","Perdido",IF(H468="Sim","Consulta Marcada",IF(A468="","","Novo Paciente")))))))))))</f>
        <v/>
      </c>
      <c r="T468" s="1" t="str">
        <f aca="false">IF(A468="","",SUMPRODUCT(($R$2:R468=R468)*($A$2:A468&lt;&gt;"")))</f>
        <v/>
      </c>
      <c r="U468" s="1" t="str">
        <f aca="false">IF(A468="","",R468&amp;"|"&amp;T468)</f>
        <v/>
      </c>
      <c r="V468" s="1" t="str">
        <f aca="false">IF(G468="","",TEXT(G468,"mm/yyyy"))</f>
        <v/>
      </c>
      <c r="W468" s="1" t="str">
        <f aca="false">IF(P468="","",TEXT(P468,"mm/yyyy"))</f>
        <v/>
      </c>
      <c r="X468" s="1" t="str">
        <f aca="false">IF(A468="","",IF(OR(R468="Fechado (Total)",R468="Fechado (Parcial)"),"Fechado|"&amp;SUMPRODUCT((($R$2:R468="Fechado (Total)")+($R$2:R468="Fechado (Parcial)"))*($A$2:A468&lt;&gt;"")),""))</f>
        <v/>
      </c>
      <c r="Y468" s="1" t="str">
        <f aca="false">IF(A468="","",IF(D468="Indicação",SUMPRODUCT(($D$2:D468="Indicação")*($A$2:A468&lt;&gt;"")),""))</f>
        <v/>
      </c>
      <c r="Z468" s="1" t="str">
        <f aca="false">IF(Y468="","","Indicacao|"&amp;Y468)</f>
        <v/>
      </c>
      <c r="AA468" s="1" t="str">
        <f aca="false">IF(I468="","",TEXT(I468,"mm/yyyy"))</f>
        <v/>
      </c>
    </row>
    <row r="469" customFormat="false" ht="15.75" hidden="false" customHeight="true" outlineLevel="0" collapsed="false">
      <c r="G469" s="19"/>
      <c r="I469" s="19"/>
      <c r="P469" s="19"/>
      <c r="R469" s="1" t="str">
        <f aca="false">IF(N469="Sim","Fechado (Total)",IF(N469="Parcial","Fechado (Parcial)",IF(N469="Não","Perdido",IF(N469="Pendente","Pendente",IF(N469="Não precisa no momento","Não Precisa no Momento",IF(L469="Sim","Plano de Tratamento",IF(J469="Não","Não Compareceu",IF(J469="Sim","Compareceu",IF(H469="Não","Perdido",IF(H469="Sim","Consulta Marcada",IF(A469="","","Novo Paciente")))))))))))</f>
        <v/>
      </c>
      <c r="T469" s="1" t="str">
        <f aca="false">IF(A469="","",SUMPRODUCT(($R$2:R469=R469)*($A$2:A469&lt;&gt;"")))</f>
        <v/>
      </c>
      <c r="U469" s="1" t="str">
        <f aca="false">IF(A469="","",R469&amp;"|"&amp;T469)</f>
        <v/>
      </c>
      <c r="V469" s="1" t="str">
        <f aca="false">IF(G469="","",TEXT(G469,"mm/yyyy"))</f>
        <v/>
      </c>
      <c r="W469" s="1" t="str">
        <f aca="false">IF(P469="","",TEXT(P469,"mm/yyyy"))</f>
        <v/>
      </c>
      <c r="X469" s="1" t="str">
        <f aca="false">IF(A469="","",IF(OR(R469="Fechado (Total)",R469="Fechado (Parcial)"),"Fechado|"&amp;SUMPRODUCT((($R$2:R469="Fechado (Total)")+($R$2:R469="Fechado (Parcial)"))*($A$2:A469&lt;&gt;"")),""))</f>
        <v/>
      </c>
      <c r="Y469" s="1" t="str">
        <f aca="false">IF(A469="","",IF(D469="Indicação",SUMPRODUCT(($D$2:D469="Indicação")*($A$2:A469&lt;&gt;"")),""))</f>
        <v/>
      </c>
      <c r="Z469" s="1" t="str">
        <f aca="false">IF(Y469="","","Indicacao|"&amp;Y469)</f>
        <v/>
      </c>
      <c r="AA469" s="1" t="str">
        <f aca="false">IF(I469="","",TEXT(I469,"mm/yyyy"))</f>
        <v/>
      </c>
    </row>
    <row r="470" customFormat="false" ht="15.75" hidden="false" customHeight="true" outlineLevel="0" collapsed="false">
      <c r="G470" s="19"/>
      <c r="I470" s="19"/>
      <c r="P470" s="19"/>
      <c r="R470" s="1" t="str">
        <f aca="false">IF(N470="Sim","Fechado (Total)",IF(N470="Parcial","Fechado (Parcial)",IF(N470="Não","Perdido",IF(N470="Pendente","Pendente",IF(N470="Não precisa no momento","Não Precisa no Momento",IF(L470="Sim","Plano de Tratamento",IF(J470="Não","Não Compareceu",IF(J470="Sim","Compareceu",IF(H470="Não","Perdido",IF(H470="Sim","Consulta Marcada",IF(A470="","","Novo Paciente")))))))))))</f>
        <v/>
      </c>
      <c r="T470" s="1" t="str">
        <f aca="false">IF(A470="","",SUMPRODUCT(($R$2:R470=R470)*($A$2:A470&lt;&gt;"")))</f>
        <v/>
      </c>
      <c r="U470" s="1" t="str">
        <f aca="false">IF(A470="","",R470&amp;"|"&amp;T470)</f>
        <v/>
      </c>
      <c r="V470" s="1" t="str">
        <f aca="false">IF(G470="","",TEXT(G470,"mm/yyyy"))</f>
        <v/>
      </c>
      <c r="W470" s="1" t="str">
        <f aca="false">IF(P470="","",TEXT(P470,"mm/yyyy"))</f>
        <v/>
      </c>
      <c r="X470" s="1" t="str">
        <f aca="false">IF(A470="","",IF(OR(R470="Fechado (Total)",R470="Fechado (Parcial)"),"Fechado|"&amp;SUMPRODUCT((($R$2:R470="Fechado (Total)")+($R$2:R470="Fechado (Parcial)"))*($A$2:A470&lt;&gt;"")),""))</f>
        <v/>
      </c>
      <c r="Y470" s="1" t="str">
        <f aca="false">IF(A470="","",IF(D470="Indicação",SUMPRODUCT(($D$2:D470="Indicação")*($A$2:A470&lt;&gt;"")),""))</f>
        <v/>
      </c>
      <c r="Z470" s="1" t="str">
        <f aca="false">IF(Y470="","","Indicacao|"&amp;Y470)</f>
        <v/>
      </c>
      <c r="AA470" s="1" t="str">
        <f aca="false">IF(I470="","",TEXT(I470,"mm/yyyy"))</f>
        <v/>
      </c>
    </row>
    <row r="471" customFormat="false" ht="15.75" hidden="false" customHeight="true" outlineLevel="0" collapsed="false">
      <c r="G471" s="19"/>
      <c r="I471" s="19"/>
      <c r="P471" s="19"/>
      <c r="R471" s="1" t="str">
        <f aca="false">IF(N471="Sim","Fechado (Total)",IF(N471="Parcial","Fechado (Parcial)",IF(N471="Não","Perdido",IF(N471="Pendente","Pendente",IF(N471="Não precisa no momento","Não Precisa no Momento",IF(L471="Sim","Plano de Tratamento",IF(J471="Não","Não Compareceu",IF(J471="Sim","Compareceu",IF(H471="Não","Perdido",IF(H471="Sim","Consulta Marcada",IF(A471="","","Novo Paciente")))))))))))</f>
        <v/>
      </c>
      <c r="T471" s="1" t="str">
        <f aca="false">IF(A471="","",SUMPRODUCT(($R$2:R471=R471)*($A$2:A471&lt;&gt;"")))</f>
        <v/>
      </c>
      <c r="U471" s="1" t="str">
        <f aca="false">IF(A471="","",R471&amp;"|"&amp;T471)</f>
        <v/>
      </c>
      <c r="V471" s="1" t="str">
        <f aca="false">IF(G471="","",TEXT(G471,"mm/yyyy"))</f>
        <v/>
      </c>
      <c r="W471" s="1" t="str">
        <f aca="false">IF(P471="","",TEXT(P471,"mm/yyyy"))</f>
        <v/>
      </c>
      <c r="X471" s="1" t="str">
        <f aca="false">IF(A471="","",IF(OR(R471="Fechado (Total)",R471="Fechado (Parcial)"),"Fechado|"&amp;SUMPRODUCT((($R$2:R471="Fechado (Total)")+($R$2:R471="Fechado (Parcial)"))*($A$2:A471&lt;&gt;"")),""))</f>
        <v/>
      </c>
      <c r="Y471" s="1" t="str">
        <f aca="false">IF(A471="","",IF(D471="Indicação",SUMPRODUCT(($D$2:D471="Indicação")*($A$2:A471&lt;&gt;"")),""))</f>
        <v/>
      </c>
      <c r="Z471" s="1" t="str">
        <f aca="false">IF(Y471="","","Indicacao|"&amp;Y471)</f>
        <v/>
      </c>
      <c r="AA471" s="1" t="str">
        <f aca="false">IF(I471="","",TEXT(I471,"mm/yyyy"))</f>
        <v/>
      </c>
    </row>
    <row r="472" customFormat="false" ht="15.75" hidden="false" customHeight="true" outlineLevel="0" collapsed="false">
      <c r="G472" s="19"/>
      <c r="I472" s="19"/>
      <c r="P472" s="19"/>
      <c r="R472" s="1" t="str">
        <f aca="false">IF(N472="Sim","Fechado (Total)",IF(N472="Parcial","Fechado (Parcial)",IF(N472="Não","Perdido",IF(N472="Pendente","Pendente",IF(N472="Não precisa no momento","Não Precisa no Momento",IF(L472="Sim","Plano de Tratamento",IF(J472="Não","Não Compareceu",IF(J472="Sim","Compareceu",IF(H472="Não","Perdido",IF(H472="Sim","Consulta Marcada",IF(A472="","","Novo Paciente")))))))))))</f>
        <v/>
      </c>
      <c r="T472" s="1" t="str">
        <f aca="false">IF(A472="","",SUMPRODUCT(($R$2:R472=R472)*($A$2:A472&lt;&gt;"")))</f>
        <v/>
      </c>
      <c r="U472" s="1" t="str">
        <f aca="false">IF(A472="","",R472&amp;"|"&amp;T472)</f>
        <v/>
      </c>
      <c r="V472" s="1" t="str">
        <f aca="false">IF(G472="","",TEXT(G472,"mm/yyyy"))</f>
        <v/>
      </c>
      <c r="W472" s="1" t="str">
        <f aca="false">IF(P472="","",TEXT(P472,"mm/yyyy"))</f>
        <v/>
      </c>
      <c r="X472" s="1" t="str">
        <f aca="false">IF(A472="","",IF(OR(R472="Fechado (Total)",R472="Fechado (Parcial)"),"Fechado|"&amp;SUMPRODUCT((($R$2:R472="Fechado (Total)")+($R$2:R472="Fechado (Parcial)"))*($A$2:A472&lt;&gt;"")),""))</f>
        <v/>
      </c>
      <c r="Y472" s="1" t="str">
        <f aca="false">IF(A472="","",IF(D472="Indicação",SUMPRODUCT(($D$2:D472="Indicação")*($A$2:A472&lt;&gt;"")),""))</f>
        <v/>
      </c>
      <c r="Z472" s="1" t="str">
        <f aca="false">IF(Y472="","","Indicacao|"&amp;Y472)</f>
        <v/>
      </c>
      <c r="AA472" s="1" t="str">
        <f aca="false">IF(I472="","",TEXT(I472,"mm/yyyy"))</f>
        <v/>
      </c>
    </row>
    <row r="473" customFormat="false" ht="15.75" hidden="false" customHeight="true" outlineLevel="0" collapsed="false">
      <c r="G473" s="19"/>
      <c r="I473" s="19"/>
      <c r="P473" s="19"/>
      <c r="R473" s="1" t="str">
        <f aca="false">IF(N473="Sim","Fechado (Total)",IF(N473="Parcial","Fechado (Parcial)",IF(N473="Não","Perdido",IF(N473="Pendente","Pendente",IF(N473="Não precisa no momento","Não Precisa no Momento",IF(L473="Sim","Plano de Tratamento",IF(J473="Não","Não Compareceu",IF(J473="Sim","Compareceu",IF(H473="Não","Perdido",IF(H473="Sim","Consulta Marcada",IF(A473="","","Novo Paciente")))))))))))</f>
        <v/>
      </c>
      <c r="T473" s="1" t="str">
        <f aca="false">IF(A473="","",SUMPRODUCT(($R$2:R473=R473)*($A$2:A473&lt;&gt;"")))</f>
        <v/>
      </c>
      <c r="U473" s="1" t="str">
        <f aca="false">IF(A473="","",R473&amp;"|"&amp;T473)</f>
        <v/>
      </c>
      <c r="V473" s="1" t="str">
        <f aca="false">IF(G473="","",TEXT(G473,"mm/yyyy"))</f>
        <v/>
      </c>
      <c r="W473" s="1" t="str">
        <f aca="false">IF(P473="","",TEXT(P473,"mm/yyyy"))</f>
        <v/>
      </c>
      <c r="X473" s="1" t="str">
        <f aca="false">IF(A473="","",IF(OR(R473="Fechado (Total)",R473="Fechado (Parcial)"),"Fechado|"&amp;SUMPRODUCT((($R$2:R473="Fechado (Total)")+($R$2:R473="Fechado (Parcial)"))*($A$2:A473&lt;&gt;"")),""))</f>
        <v/>
      </c>
      <c r="Y473" s="1" t="str">
        <f aca="false">IF(A473="","",IF(D473="Indicação",SUMPRODUCT(($D$2:D473="Indicação")*($A$2:A473&lt;&gt;"")),""))</f>
        <v/>
      </c>
      <c r="Z473" s="1" t="str">
        <f aca="false">IF(Y473="","","Indicacao|"&amp;Y473)</f>
        <v/>
      </c>
      <c r="AA473" s="1" t="str">
        <f aca="false">IF(I473="","",TEXT(I473,"mm/yyyy"))</f>
        <v/>
      </c>
    </row>
    <row r="474" customFormat="false" ht="15.75" hidden="false" customHeight="true" outlineLevel="0" collapsed="false">
      <c r="G474" s="19"/>
      <c r="I474" s="19"/>
      <c r="P474" s="19"/>
      <c r="R474" s="1" t="str">
        <f aca="false">IF(N474="Sim","Fechado (Total)",IF(N474="Parcial","Fechado (Parcial)",IF(N474="Não","Perdido",IF(N474="Pendente","Pendente",IF(N474="Não precisa no momento","Não Precisa no Momento",IF(L474="Sim","Plano de Tratamento",IF(J474="Não","Não Compareceu",IF(J474="Sim","Compareceu",IF(H474="Não","Perdido",IF(H474="Sim","Consulta Marcada",IF(A474="","","Novo Paciente")))))))))))</f>
        <v/>
      </c>
      <c r="T474" s="1" t="str">
        <f aca="false">IF(A474="","",SUMPRODUCT(($R$2:R474=R474)*($A$2:A474&lt;&gt;"")))</f>
        <v/>
      </c>
      <c r="U474" s="1" t="str">
        <f aca="false">IF(A474="","",R474&amp;"|"&amp;T474)</f>
        <v/>
      </c>
      <c r="V474" s="1" t="str">
        <f aca="false">IF(G474="","",TEXT(G474,"mm/yyyy"))</f>
        <v/>
      </c>
      <c r="W474" s="1" t="str">
        <f aca="false">IF(P474="","",TEXT(P474,"mm/yyyy"))</f>
        <v/>
      </c>
      <c r="X474" s="1" t="str">
        <f aca="false">IF(A474="","",IF(OR(R474="Fechado (Total)",R474="Fechado (Parcial)"),"Fechado|"&amp;SUMPRODUCT((($R$2:R474="Fechado (Total)")+($R$2:R474="Fechado (Parcial)"))*($A$2:A474&lt;&gt;"")),""))</f>
        <v/>
      </c>
      <c r="Y474" s="1" t="str">
        <f aca="false">IF(A474="","",IF(D474="Indicação",SUMPRODUCT(($D$2:D474="Indicação")*($A$2:A474&lt;&gt;"")),""))</f>
        <v/>
      </c>
      <c r="Z474" s="1" t="str">
        <f aca="false">IF(Y474="","","Indicacao|"&amp;Y474)</f>
        <v/>
      </c>
      <c r="AA474" s="1" t="str">
        <f aca="false">IF(I474="","",TEXT(I474,"mm/yyyy"))</f>
        <v/>
      </c>
    </row>
    <row r="475" customFormat="false" ht="15.75" hidden="false" customHeight="true" outlineLevel="0" collapsed="false">
      <c r="G475" s="19"/>
      <c r="I475" s="19"/>
      <c r="P475" s="19"/>
      <c r="R475" s="1" t="str">
        <f aca="false">IF(N475="Sim","Fechado (Total)",IF(N475="Parcial","Fechado (Parcial)",IF(N475="Não","Perdido",IF(N475="Pendente","Pendente",IF(N475="Não precisa no momento","Não Precisa no Momento",IF(L475="Sim","Plano de Tratamento",IF(J475="Não","Não Compareceu",IF(J475="Sim","Compareceu",IF(H475="Não","Perdido",IF(H475="Sim","Consulta Marcada",IF(A475="","","Novo Paciente")))))))))))</f>
        <v/>
      </c>
      <c r="T475" s="1" t="str">
        <f aca="false">IF(A475="","",SUMPRODUCT(($R$2:R475=R475)*($A$2:A475&lt;&gt;"")))</f>
        <v/>
      </c>
      <c r="U475" s="1" t="str">
        <f aca="false">IF(A475="","",R475&amp;"|"&amp;T475)</f>
        <v/>
      </c>
      <c r="V475" s="1" t="str">
        <f aca="false">IF(G475="","",TEXT(G475,"mm/yyyy"))</f>
        <v/>
      </c>
      <c r="W475" s="1" t="str">
        <f aca="false">IF(P475="","",TEXT(P475,"mm/yyyy"))</f>
        <v/>
      </c>
      <c r="X475" s="1" t="str">
        <f aca="false">IF(A475="","",IF(OR(R475="Fechado (Total)",R475="Fechado (Parcial)"),"Fechado|"&amp;SUMPRODUCT((($R$2:R475="Fechado (Total)")+($R$2:R475="Fechado (Parcial)"))*($A$2:A475&lt;&gt;"")),""))</f>
        <v/>
      </c>
      <c r="Y475" s="1" t="str">
        <f aca="false">IF(A475="","",IF(D475="Indicação",SUMPRODUCT(($D$2:D475="Indicação")*($A$2:A475&lt;&gt;"")),""))</f>
        <v/>
      </c>
      <c r="Z475" s="1" t="str">
        <f aca="false">IF(Y475="","","Indicacao|"&amp;Y475)</f>
        <v/>
      </c>
      <c r="AA475" s="1" t="str">
        <f aca="false">IF(I475="","",TEXT(I475,"mm/yyyy"))</f>
        <v/>
      </c>
    </row>
    <row r="476" customFormat="false" ht="15.75" hidden="false" customHeight="true" outlineLevel="0" collapsed="false">
      <c r="G476" s="19"/>
      <c r="I476" s="19"/>
      <c r="P476" s="19"/>
      <c r="R476" s="1" t="str">
        <f aca="false">IF(N476="Sim","Fechado (Total)",IF(N476="Parcial","Fechado (Parcial)",IF(N476="Não","Perdido",IF(N476="Pendente","Pendente",IF(N476="Não precisa no momento","Não Precisa no Momento",IF(L476="Sim","Plano de Tratamento",IF(J476="Não","Não Compareceu",IF(J476="Sim","Compareceu",IF(H476="Não","Perdido",IF(H476="Sim","Consulta Marcada",IF(A476="","","Novo Paciente")))))))))))</f>
        <v/>
      </c>
      <c r="T476" s="1" t="str">
        <f aca="false">IF(A476="","",SUMPRODUCT(($R$2:R476=R476)*($A$2:A476&lt;&gt;"")))</f>
        <v/>
      </c>
      <c r="U476" s="1" t="str">
        <f aca="false">IF(A476="","",R476&amp;"|"&amp;T476)</f>
        <v/>
      </c>
      <c r="V476" s="1" t="str">
        <f aca="false">IF(G476="","",TEXT(G476,"mm/yyyy"))</f>
        <v/>
      </c>
      <c r="W476" s="1" t="str">
        <f aca="false">IF(P476="","",TEXT(P476,"mm/yyyy"))</f>
        <v/>
      </c>
      <c r="X476" s="1" t="str">
        <f aca="false">IF(A476="","",IF(OR(R476="Fechado (Total)",R476="Fechado (Parcial)"),"Fechado|"&amp;SUMPRODUCT((($R$2:R476="Fechado (Total)")+($R$2:R476="Fechado (Parcial)"))*($A$2:A476&lt;&gt;"")),""))</f>
        <v/>
      </c>
      <c r="Y476" s="1" t="str">
        <f aca="false">IF(A476="","",IF(D476="Indicação",SUMPRODUCT(($D$2:D476="Indicação")*($A$2:A476&lt;&gt;"")),""))</f>
        <v/>
      </c>
      <c r="Z476" s="1" t="str">
        <f aca="false">IF(Y476="","","Indicacao|"&amp;Y476)</f>
        <v/>
      </c>
      <c r="AA476" s="1" t="str">
        <f aca="false">IF(I476="","",TEXT(I476,"mm/yyyy"))</f>
        <v/>
      </c>
    </row>
    <row r="477" customFormat="false" ht="15.75" hidden="false" customHeight="true" outlineLevel="0" collapsed="false">
      <c r="G477" s="19"/>
      <c r="I477" s="19"/>
      <c r="P477" s="19"/>
      <c r="R477" s="1" t="str">
        <f aca="false">IF(N477="Sim","Fechado (Total)",IF(N477="Parcial","Fechado (Parcial)",IF(N477="Não","Perdido",IF(N477="Pendente","Pendente",IF(N477="Não precisa no momento","Não Precisa no Momento",IF(L477="Sim","Plano de Tratamento",IF(J477="Não","Não Compareceu",IF(J477="Sim","Compareceu",IF(H477="Não","Perdido",IF(H477="Sim","Consulta Marcada",IF(A477="","","Novo Paciente")))))))))))</f>
        <v/>
      </c>
      <c r="T477" s="1" t="str">
        <f aca="false">IF(A477="","",SUMPRODUCT(($R$2:R477=R477)*($A$2:A477&lt;&gt;"")))</f>
        <v/>
      </c>
      <c r="U477" s="1" t="str">
        <f aca="false">IF(A477="","",R477&amp;"|"&amp;T477)</f>
        <v/>
      </c>
      <c r="V477" s="1" t="str">
        <f aca="false">IF(G477="","",TEXT(G477,"mm/yyyy"))</f>
        <v/>
      </c>
      <c r="W477" s="1" t="str">
        <f aca="false">IF(P477="","",TEXT(P477,"mm/yyyy"))</f>
        <v/>
      </c>
      <c r="X477" s="1" t="str">
        <f aca="false">IF(A477="","",IF(OR(R477="Fechado (Total)",R477="Fechado (Parcial)"),"Fechado|"&amp;SUMPRODUCT((($R$2:R477="Fechado (Total)")+($R$2:R477="Fechado (Parcial)"))*($A$2:A477&lt;&gt;"")),""))</f>
        <v/>
      </c>
      <c r="Y477" s="1" t="str">
        <f aca="false">IF(A477="","",IF(D477="Indicação",SUMPRODUCT(($D$2:D477="Indicação")*($A$2:A477&lt;&gt;"")),""))</f>
        <v/>
      </c>
      <c r="Z477" s="1" t="str">
        <f aca="false">IF(Y477="","","Indicacao|"&amp;Y477)</f>
        <v/>
      </c>
      <c r="AA477" s="1" t="str">
        <f aca="false">IF(I477="","",TEXT(I477,"mm/yyyy"))</f>
        <v/>
      </c>
    </row>
    <row r="478" customFormat="false" ht="15.75" hidden="false" customHeight="true" outlineLevel="0" collapsed="false">
      <c r="G478" s="19"/>
      <c r="I478" s="19"/>
      <c r="P478" s="19"/>
      <c r="R478" s="1" t="str">
        <f aca="false">IF(N478="Sim","Fechado (Total)",IF(N478="Parcial","Fechado (Parcial)",IF(N478="Não","Perdido",IF(N478="Pendente","Pendente",IF(N478="Não precisa no momento","Não Precisa no Momento",IF(L478="Sim","Plano de Tratamento",IF(J478="Não","Não Compareceu",IF(J478="Sim","Compareceu",IF(H478="Não","Perdido",IF(H478="Sim","Consulta Marcada",IF(A478="","","Novo Paciente")))))))))))</f>
        <v/>
      </c>
      <c r="T478" s="1" t="str">
        <f aca="false">IF(A478="","",SUMPRODUCT(($R$2:R478=R478)*($A$2:A478&lt;&gt;"")))</f>
        <v/>
      </c>
      <c r="U478" s="1" t="str">
        <f aca="false">IF(A478="","",R478&amp;"|"&amp;T478)</f>
        <v/>
      </c>
      <c r="V478" s="1" t="str">
        <f aca="false">IF(G478="","",TEXT(G478,"mm/yyyy"))</f>
        <v/>
      </c>
      <c r="W478" s="1" t="str">
        <f aca="false">IF(P478="","",TEXT(P478,"mm/yyyy"))</f>
        <v/>
      </c>
      <c r="X478" s="1" t="str">
        <f aca="false">IF(A478="","",IF(OR(R478="Fechado (Total)",R478="Fechado (Parcial)"),"Fechado|"&amp;SUMPRODUCT((($R$2:R478="Fechado (Total)")+($R$2:R478="Fechado (Parcial)"))*($A$2:A478&lt;&gt;"")),""))</f>
        <v/>
      </c>
      <c r="Y478" s="1" t="str">
        <f aca="false">IF(A478="","",IF(D478="Indicação",SUMPRODUCT(($D$2:D478="Indicação")*($A$2:A478&lt;&gt;"")),""))</f>
        <v/>
      </c>
      <c r="Z478" s="1" t="str">
        <f aca="false">IF(Y478="","","Indicacao|"&amp;Y478)</f>
        <v/>
      </c>
      <c r="AA478" s="1" t="str">
        <f aca="false">IF(I478="","",TEXT(I478,"mm/yyyy"))</f>
        <v/>
      </c>
    </row>
    <row r="479" customFormat="false" ht="15.75" hidden="false" customHeight="true" outlineLevel="0" collapsed="false">
      <c r="G479" s="19"/>
      <c r="I479" s="19"/>
      <c r="P479" s="19"/>
      <c r="R479" s="1" t="str">
        <f aca="false">IF(N479="Sim","Fechado (Total)",IF(N479="Parcial","Fechado (Parcial)",IF(N479="Não","Perdido",IF(N479="Pendente","Pendente",IF(N479="Não precisa no momento","Não Precisa no Momento",IF(L479="Sim","Plano de Tratamento",IF(J479="Não","Não Compareceu",IF(J479="Sim","Compareceu",IF(H479="Não","Perdido",IF(H479="Sim","Consulta Marcada",IF(A479="","","Novo Paciente")))))))))))</f>
        <v/>
      </c>
      <c r="T479" s="1" t="str">
        <f aca="false">IF(A479="","",SUMPRODUCT(($R$2:R479=R479)*($A$2:A479&lt;&gt;"")))</f>
        <v/>
      </c>
      <c r="U479" s="1" t="str">
        <f aca="false">IF(A479="","",R479&amp;"|"&amp;T479)</f>
        <v/>
      </c>
      <c r="V479" s="1" t="str">
        <f aca="false">IF(G479="","",TEXT(G479,"mm/yyyy"))</f>
        <v/>
      </c>
      <c r="W479" s="1" t="str">
        <f aca="false">IF(P479="","",TEXT(P479,"mm/yyyy"))</f>
        <v/>
      </c>
      <c r="X479" s="1" t="str">
        <f aca="false">IF(A479="","",IF(OR(R479="Fechado (Total)",R479="Fechado (Parcial)"),"Fechado|"&amp;SUMPRODUCT((($R$2:R479="Fechado (Total)")+($R$2:R479="Fechado (Parcial)"))*($A$2:A479&lt;&gt;"")),""))</f>
        <v/>
      </c>
      <c r="Y479" s="1" t="str">
        <f aca="false">IF(A479="","",IF(D479="Indicação",SUMPRODUCT(($D$2:D479="Indicação")*($A$2:A479&lt;&gt;"")),""))</f>
        <v/>
      </c>
      <c r="Z479" s="1" t="str">
        <f aca="false">IF(Y479="","","Indicacao|"&amp;Y479)</f>
        <v/>
      </c>
      <c r="AA479" s="1" t="str">
        <f aca="false">IF(I479="","",TEXT(I479,"mm/yyyy"))</f>
        <v/>
      </c>
    </row>
    <row r="480" customFormat="false" ht="15.75" hidden="false" customHeight="true" outlineLevel="0" collapsed="false">
      <c r="G480" s="19"/>
      <c r="I480" s="19"/>
      <c r="P480" s="19"/>
      <c r="R480" s="1" t="str">
        <f aca="false">IF(N480="Sim","Fechado (Total)",IF(N480="Parcial","Fechado (Parcial)",IF(N480="Não","Perdido",IF(N480="Pendente","Pendente",IF(N480="Não precisa no momento","Não Precisa no Momento",IF(L480="Sim","Plano de Tratamento",IF(J480="Não","Não Compareceu",IF(J480="Sim","Compareceu",IF(H480="Não","Perdido",IF(H480="Sim","Consulta Marcada",IF(A480="","","Novo Paciente")))))))))))</f>
        <v/>
      </c>
      <c r="T480" s="1" t="str">
        <f aca="false">IF(A480="","",SUMPRODUCT(($R$2:R480=R480)*($A$2:A480&lt;&gt;"")))</f>
        <v/>
      </c>
      <c r="U480" s="1" t="str">
        <f aca="false">IF(A480="","",R480&amp;"|"&amp;T480)</f>
        <v/>
      </c>
      <c r="V480" s="1" t="str">
        <f aca="false">IF(G480="","",TEXT(G480,"mm/yyyy"))</f>
        <v/>
      </c>
      <c r="W480" s="1" t="str">
        <f aca="false">IF(P480="","",TEXT(P480,"mm/yyyy"))</f>
        <v/>
      </c>
      <c r="X480" s="1" t="str">
        <f aca="false">IF(A480="","",IF(OR(R480="Fechado (Total)",R480="Fechado (Parcial)"),"Fechado|"&amp;SUMPRODUCT((($R$2:R480="Fechado (Total)")+($R$2:R480="Fechado (Parcial)"))*($A$2:A480&lt;&gt;"")),""))</f>
        <v/>
      </c>
      <c r="Y480" s="1" t="str">
        <f aca="false">IF(A480="","",IF(D480="Indicação",SUMPRODUCT(($D$2:D480="Indicação")*($A$2:A480&lt;&gt;"")),""))</f>
        <v/>
      </c>
      <c r="Z480" s="1" t="str">
        <f aca="false">IF(Y480="","","Indicacao|"&amp;Y480)</f>
        <v/>
      </c>
      <c r="AA480" s="1" t="str">
        <f aca="false">IF(I480="","",TEXT(I480,"mm/yyyy"))</f>
        <v/>
      </c>
    </row>
    <row r="481" customFormat="false" ht="15.75" hidden="false" customHeight="true" outlineLevel="0" collapsed="false">
      <c r="G481" s="19"/>
      <c r="I481" s="19"/>
      <c r="P481" s="19"/>
      <c r="R481" s="1" t="str">
        <f aca="false">IF(N481="Sim","Fechado (Total)",IF(N481="Parcial","Fechado (Parcial)",IF(N481="Não","Perdido",IF(N481="Pendente","Pendente",IF(N481="Não precisa no momento","Não Precisa no Momento",IF(L481="Sim","Plano de Tratamento",IF(J481="Não","Não Compareceu",IF(J481="Sim","Compareceu",IF(H481="Não","Perdido",IF(H481="Sim","Consulta Marcada",IF(A481="","","Novo Paciente")))))))))))</f>
        <v/>
      </c>
      <c r="T481" s="1" t="str">
        <f aca="false">IF(A481="","",SUMPRODUCT(($R$2:R481=R481)*($A$2:A481&lt;&gt;"")))</f>
        <v/>
      </c>
      <c r="U481" s="1" t="str">
        <f aca="false">IF(A481="","",R481&amp;"|"&amp;T481)</f>
        <v/>
      </c>
      <c r="V481" s="1" t="str">
        <f aca="false">IF(G481="","",TEXT(G481,"mm/yyyy"))</f>
        <v/>
      </c>
      <c r="W481" s="1" t="str">
        <f aca="false">IF(P481="","",TEXT(P481,"mm/yyyy"))</f>
        <v/>
      </c>
      <c r="X481" s="1" t="str">
        <f aca="false">IF(A481="","",IF(OR(R481="Fechado (Total)",R481="Fechado (Parcial)"),"Fechado|"&amp;SUMPRODUCT((($R$2:R481="Fechado (Total)")+($R$2:R481="Fechado (Parcial)"))*($A$2:A481&lt;&gt;"")),""))</f>
        <v/>
      </c>
      <c r="Y481" s="1" t="str">
        <f aca="false">IF(A481="","",IF(D481="Indicação",SUMPRODUCT(($D$2:D481="Indicação")*($A$2:A481&lt;&gt;"")),""))</f>
        <v/>
      </c>
      <c r="Z481" s="1" t="str">
        <f aca="false">IF(Y481="","","Indicacao|"&amp;Y481)</f>
        <v/>
      </c>
      <c r="AA481" s="1" t="str">
        <f aca="false">IF(I481="","",TEXT(I481,"mm/yyyy"))</f>
        <v/>
      </c>
    </row>
    <row r="482" customFormat="false" ht="15.75" hidden="false" customHeight="true" outlineLevel="0" collapsed="false">
      <c r="G482" s="19"/>
      <c r="I482" s="19"/>
      <c r="P482" s="19"/>
      <c r="R482" s="1" t="str">
        <f aca="false">IF(N482="Sim","Fechado (Total)",IF(N482="Parcial","Fechado (Parcial)",IF(N482="Não","Perdido",IF(N482="Pendente","Pendente",IF(N482="Não precisa no momento","Não Precisa no Momento",IF(L482="Sim","Plano de Tratamento",IF(J482="Não","Não Compareceu",IF(J482="Sim","Compareceu",IF(H482="Não","Perdido",IF(H482="Sim","Consulta Marcada",IF(A482="","","Novo Paciente")))))))))))</f>
        <v/>
      </c>
      <c r="T482" s="1" t="str">
        <f aca="false">IF(A482="","",SUMPRODUCT(($R$2:R482=R482)*($A$2:A482&lt;&gt;"")))</f>
        <v/>
      </c>
      <c r="U482" s="1" t="str">
        <f aca="false">IF(A482="","",R482&amp;"|"&amp;T482)</f>
        <v/>
      </c>
      <c r="V482" s="1" t="str">
        <f aca="false">IF(G482="","",TEXT(G482,"mm/yyyy"))</f>
        <v/>
      </c>
      <c r="W482" s="1" t="str">
        <f aca="false">IF(P482="","",TEXT(P482,"mm/yyyy"))</f>
        <v/>
      </c>
      <c r="X482" s="1" t="str">
        <f aca="false">IF(A482="","",IF(OR(R482="Fechado (Total)",R482="Fechado (Parcial)"),"Fechado|"&amp;SUMPRODUCT((($R$2:R482="Fechado (Total)")+($R$2:R482="Fechado (Parcial)"))*($A$2:A482&lt;&gt;"")),""))</f>
        <v/>
      </c>
      <c r="Y482" s="1" t="str">
        <f aca="false">IF(A482="","",IF(D482="Indicação",SUMPRODUCT(($D$2:D482="Indicação")*($A$2:A482&lt;&gt;"")),""))</f>
        <v/>
      </c>
      <c r="Z482" s="1" t="str">
        <f aca="false">IF(Y482="","","Indicacao|"&amp;Y482)</f>
        <v/>
      </c>
      <c r="AA482" s="1" t="str">
        <f aca="false">IF(I482="","",TEXT(I482,"mm/yyyy"))</f>
        <v/>
      </c>
    </row>
    <row r="483" customFormat="false" ht="15.75" hidden="false" customHeight="true" outlineLevel="0" collapsed="false">
      <c r="G483" s="19"/>
      <c r="I483" s="19"/>
      <c r="P483" s="19"/>
      <c r="R483" s="1" t="str">
        <f aca="false">IF(N483="Sim","Fechado (Total)",IF(N483="Parcial","Fechado (Parcial)",IF(N483="Não","Perdido",IF(N483="Pendente","Pendente",IF(N483="Não precisa no momento","Não Precisa no Momento",IF(L483="Sim","Plano de Tratamento",IF(J483="Não","Não Compareceu",IF(J483="Sim","Compareceu",IF(H483="Não","Perdido",IF(H483="Sim","Consulta Marcada",IF(A483="","","Novo Paciente")))))))))))</f>
        <v/>
      </c>
      <c r="T483" s="1" t="str">
        <f aca="false">IF(A483="","",SUMPRODUCT(($R$2:R483=R483)*($A$2:A483&lt;&gt;"")))</f>
        <v/>
      </c>
      <c r="U483" s="1" t="str">
        <f aca="false">IF(A483="","",R483&amp;"|"&amp;T483)</f>
        <v/>
      </c>
      <c r="V483" s="1" t="str">
        <f aca="false">IF(G483="","",TEXT(G483,"mm/yyyy"))</f>
        <v/>
      </c>
      <c r="W483" s="1" t="str">
        <f aca="false">IF(P483="","",TEXT(P483,"mm/yyyy"))</f>
        <v/>
      </c>
      <c r="X483" s="1" t="str">
        <f aca="false">IF(A483="","",IF(OR(R483="Fechado (Total)",R483="Fechado (Parcial)"),"Fechado|"&amp;SUMPRODUCT((($R$2:R483="Fechado (Total)")+($R$2:R483="Fechado (Parcial)"))*($A$2:A483&lt;&gt;"")),""))</f>
        <v/>
      </c>
      <c r="Y483" s="1" t="str">
        <f aca="false">IF(A483="","",IF(D483="Indicação",SUMPRODUCT(($D$2:D483="Indicação")*($A$2:A483&lt;&gt;"")),""))</f>
        <v/>
      </c>
      <c r="Z483" s="1" t="str">
        <f aca="false">IF(Y483="","","Indicacao|"&amp;Y483)</f>
        <v/>
      </c>
      <c r="AA483" s="1" t="str">
        <f aca="false">IF(I483="","",TEXT(I483,"mm/yyyy"))</f>
        <v/>
      </c>
    </row>
    <row r="484" customFormat="false" ht="15.75" hidden="false" customHeight="true" outlineLevel="0" collapsed="false">
      <c r="G484" s="19"/>
      <c r="I484" s="19"/>
      <c r="P484" s="19"/>
      <c r="R484" s="1" t="str">
        <f aca="false">IF(N484="Sim","Fechado (Total)",IF(N484="Parcial","Fechado (Parcial)",IF(N484="Não","Perdido",IF(N484="Pendente","Pendente",IF(N484="Não precisa no momento","Não Precisa no Momento",IF(L484="Sim","Plano de Tratamento",IF(J484="Não","Não Compareceu",IF(J484="Sim","Compareceu",IF(H484="Não","Perdido",IF(H484="Sim","Consulta Marcada",IF(A484="","","Novo Paciente")))))))))))</f>
        <v/>
      </c>
      <c r="T484" s="1" t="str">
        <f aca="false">IF(A484="","",SUMPRODUCT(($R$2:R484=R484)*($A$2:A484&lt;&gt;"")))</f>
        <v/>
      </c>
      <c r="U484" s="1" t="str">
        <f aca="false">IF(A484="","",R484&amp;"|"&amp;T484)</f>
        <v/>
      </c>
      <c r="V484" s="1" t="str">
        <f aca="false">IF(G484="","",TEXT(G484,"mm/yyyy"))</f>
        <v/>
      </c>
      <c r="W484" s="1" t="str">
        <f aca="false">IF(P484="","",TEXT(P484,"mm/yyyy"))</f>
        <v/>
      </c>
      <c r="X484" s="1" t="str">
        <f aca="false">IF(A484="","",IF(OR(R484="Fechado (Total)",R484="Fechado (Parcial)"),"Fechado|"&amp;SUMPRODUCT((($R$2:R484="Fechado (Total)")+($R$2:R484="Fechado (Parcial)"))*($A$2:A484&lt;&gt;"")),""))</f>
        <v/>
      </c>
      <c r="Y484" s="1" t="str">
        <f aca="false">IF(A484="","",IF(D484="Indicação",SUMPRODUCT(($D$2:D484="Indicação")*($A$2:A484&lt;&gt;"")),""))</f>
        <v/>
      </c>
      <c r="Z484" s="1" t="str">
        <f aca="false">IF(Y484="","","Indicacao|"&amp;Y484)</f>
        <v/>
      </c>
      <c r="AA484" s="1" t="str">
        <f aca="false">IF(I484="","",TEXT(I484,"mm/yyyy"))</f>
        <v/>
      </c>
    </row>
    <row r="485" customFormat="false" ht="15.75" hidden="false" customHeight="true" outlineLevel="0" collapsed="false">
      <c r="G485" s="19"/>
      <c r="I485" s="19"/>
      <c r="P485" s="19"/>
      <c r="R485" s="1" t="str">
        <f aca="false">IF(N485="Sim","Fechado (Total)",IF(N485="Parcial","Fechado (Parcial)",IF(N485="Não","Perdido",IF(N485="Pendente","Pendente",IF(N485="Não precisa no momento","Não Precisa no Momento",IF(L485="Sim","Plano de Tratamento",IF(J485="Não","Não Compareceu",IF(J485="Sim","Compareceu",IF(H485="Não","Perdido",IF(H485="Sim","Consulta Marcada",IF(A485="","","Novo Paciente")))))))))))</f>
        <v/>
      </c>
      <c r="T485" s="1" t="str">
        <f aca="false">IF(A485="","",SUMPRODUCT(($R$2:R485=R485)*($A$2:A485&lt;&gt;"")))</f>
        <v/>
      </c>
      <c r="U485" s="1" t="str">
        <f aca="false">IF(A485="","",R485&amp;"|"&amp;T485)</f>
        <v/>
      </c>
      <c r="V485" s="1" t="str">
        <f aca="false">IF(G485="","",TEXT(G485,"mm/yyyy"))</f>
        <v/>
      </c>
      <c r="W485" s="1" t="str">
        <f aca="false">IF(P485="","",TEXT(P485,"mm/yyyy"))</f>
        <v/>
      </c>
      <c r="X485" s="1" t="str">
        <f aca="false">IF(A485="","",IF(OR(R485="Fechado (Total)",R485="Fechado (Parcial)"),"Fechado|"&amp;SUMPRODUCT((($R$2:R485="Fechado (Total)")+($R$2:R485="Fechado (Parcial)"))*($A$2:A485&lt;&gt;"")),""))</f>
        <v/>
      </c>
      <c r="Y485" s="1" t="str">
        <f aca="false">IF(A485="","",IF(D485="Indicação",SUMPRODUCT(($D$2:D485="Indicação")*($A$2:A485&lt;&gt;"")),""))</f>
        <v/>
      </c>
      <c r="Z485" s="1" t="str">
        <f aca="false">IF(Y485="","","Indicacao|"&amp;Y485)</f>
        <v/>
      </c>
      <c r="AA485" s="1" t="str">
        <f aca="false">IF(I485="","",TEXT(I485,"mm/yyyy"))</f>
        <v/>
      </c>
    </row>
    <row r="486" customFormat="false" ht="15.75" hidden="false" customHeight="true" outlineLevel="0" collapsed="false">
      <c r="G486" s="19"/>
      <c r="I486" s="19"/>
      <c r="P486" s="19"/>
      <c r="R486" s="1" t="str">
        <f aca="false">IF(N486="Sim","Fechado (Total)",IF(N486="Parcial","Fechado (Parcial)",IF(N486="Não","Perdido",IF(N486="Pendente","Pendente",IF(N486="Não precisa no momento","Não Precisa no Momento",IF(L486="Sim","Plano de Tratamento",IF(J486="Não","Não Compareceu",IF(J486="Sim","Compareceu",IF(H486="Não","Perdido",IF(H486="Sim","Consulta Marcada",IF(A486="","","Novo Paciente")))))))))))</f>
        <v/>
      </c>
      <c r="T486" s="1" t="str">
        <f aca="false">IF(A486="","",SUMPRODUCT(($R$2:R486=R486)*($A$2:A486&lt;&gt;"")))</f>
        <v/>
      </c>
      <c r="U486" s="1" t="str">
        <f aca="false">IF(A486="","",R486&amp;"|"&amp;T486)</f>
        <v/>
      </c>
      <c r="V486" s="1" t="str">
        <f aca="false">IF(G486="","",TEXT(G486,"mm/yyyy"))</f>
        <v/>
      </c>
      <c r="W486" s="1" t="str">
        <f aca="false">IF(P486="","",TEXT(P486,"mm/yyyy"))</f>
        <v/>
      </c>
      <c r="X486" s="1" t="str">
        <f aca="false">IF(A486="","",IF(OR(R486="Fechado (Total)",R486="Fechado (Parcial)"),"Fechado|"&amp;SUMPRODUCT((($R$2:R486="Fechado (Total)")+($R$2:R486="Fechado (Parcial)"))*($A$2:A486&lt;&gt;"")),""))</f>
        <v/>
      </c>
      <c r="Y486" s="1" t="str">
        <f aca="false">IF(A486="","",IF(D486="Indicação",SUMPRODUCT(($D$2:D486="Indicação")*($A$2:A486&lt;&gt;"")),""))</f>
        <v/>
      </c>
      <c r="Z486" s="1" t="str">
        <f aca="false">IF(Y486="","","Indicacao|"&amp;Y486)</f>
        <v/>
      </c>
      <c r="AA486" s="1" t="str">
        <f aca="false">IF(I486="","",TEXT(I486,"mm/yyyy"))</f>
        <v/>
      </c>
    </row>
    <row r="487" customFormat="false" ht="15.75" hidden="false" customHeight="true" outlineLevel="0" collapsed="false">
      <c r="G487" s="19"/>
      <c r="I487" s="19"/>
      <c r="P487" s="19"/>
      <c r="R487" s="1" t="str">
        <f aca="false">IF(N487="Sim","Fechado (Total)",IF(N487="Parcial","Fechado (Parcial)",IF(N487="Não","Perdido",IF(N487="Pendente","Pendente",IF(N487="Não precisa no momento","Não Precisa no Momento",IF(L487="Sim","Plano de Tratamento",IF(J487="Não","Não Compareceu",IF(J487="Sim","Compareceu",IF(H487="Não","Perdido",IF(H487="Sim","Consulta Marcada",IF(A487="","","Novo Paciente")))))))))))</f>
        <v/>
      </c>
      <c r="T487" s="1" t="str">
        <f aca="false">IF(A487="","",SUMPRODUCT(($R$2:R487=R487)*($A$2:A487&lt;&gt;"")))</f>
        <v/>
      </c>
      <c r="U487" s="1" t="str">
        <f aca="false">IF(A487="","",R487&amp;"|"&amp;T487)</f>
        <v/>
      </c>
      <c r="V487" s="1" t="str">
        <f aca="false">IF(G487="","",TEXT(G487,"mm/yyyy"))</f>
        <v/>
      </c>
      <c r="W487" s="1" t="str">
        <f aca="false">IF(P487="","",TEXT(P487,"mm/yyyy"))</f>
        <v/>
      </c>
      <c r="X487" s="1" t="str">
        <f aca="false">IF(A487="","",IF(OR(R487="Fechado (Total)",R487="Fechado (Parcial)"),"Fechado|"&amp;SUMPRODUCT((($R$2:R487="Fechado (Total)")+($R$2:R487="Fechado (Parcial)"))*($A$2:A487&lt;&gt;"")),""))</f>
        <v/>
      </c>
      <c r="Y487" s="1" t="str">
        <f aca="false">IF(A487="","",IF(D487="Indicação",SUMPRODUCT(($D$2:D487="Indicação")*($A$2:A487&lt;&gt;"")),""))</f>
        <v/>
      </c>
      <c r="Z487" s="1" t="str">
        <f aca="false">IF(Y487="","","Indicacao|"&amp;Y487)</f>
        <v/>
      </c>
      <c r="AA487" s="1" t="str">
        <f aca="false">IF(I487="","",TEXT(I487,"mm/yyyy"))</f>
        <v/>
      </c>
    </row>
    <row r="488" customFormat="false" ht="15.75" hidden="false" customHeight="true" outlineLevel="0" collapsed="false">
      <c r="G488" s="19"/>
      <c r="I488" s="19"/>
      <c r="P488" s="19"/>
      <c r="R488" s="1" t="str">
        <f aca="false">IF(N488="Sim","Fechado (Total)",IF(N488="Parcial","Fechado (Parcial)",IF(N488="Não","Perdido",IF(N488="Pendente","Pendente",IF(N488="Não precisa no momento","Não Precisa no Momento",IF(L488="Sim","Plano de Tratamento",IF(J488="Não","Não Compareceu",IF(J488="Sim","Compareceu",IF(H488="Não","Perdido",IF(H488="Sim","Consulta Marcada",IF(A488="","","Novo Paciente")))))))))))</f>
        <v/>
      </c>
      <c r="T488" s="1" t="str">
        <f aca="false">IF(A488="","",SUMPRODUCT(($R$2:R488=R488)*($A$2:A488&lt;&gt;"")))</f>
        <v/>
      </c>
      <c r="U488" s="1" t="str">
        <f aca="false">IF(A488="","",R488&amp;"|"&amp;T488)</f>
        <v/>
      </c>
      <c r="V488" s="1" t="str">
        <f aca="false">IF(G488="","",TEXT(G488,"mm/yyyy"))</f>
        <v/>
      </c>
      <c r="W488" s="1" t="str">
        <f aca="false">IF(P488="","",TEXT(P488,"mm/yyyy"))</f>
        <v/>
      </c>
      <c r="X488" s="1" t="str">
        <f aca="false">IF(A488="","",IF(OR(R488="Fechado (Total)",R488="Fechado (Parcial)"),"Fechado|"&amp;SUMPRODUCT((($R$2:R488="Fechado (Total)")+($R$2:R488="Fechado (Parcial)"))*($A$2:A488&lt;&gt;"")),""))</f>
        <v/>
      </c>
      <c r="Y488" s="1" t="str">
        <f aca="false">IF(A488="","",IF(D488="Indicação",SUMPRODUCT(($D$2:D488="Indicação")*($A$2:A488&lt;&gt;"")),""))</f>
        <v/>
      </c>
      <c r="Z488" s="1" t="str">
        <f aca="false">IF(Y488="","","Indicacao|"&amp;Y488)</f>
        <v/>
      </c>
      <c r="AA488" s="1" t="str">
        <f aca="false">IF(I488="","",TEXT(I488,"mm/yyyy"))</f>
        <v/>
      </c>
    </row>
    <row r="489" customFormat="false" ht="15.75" hidden="false" customHeight="true" outlineLevel="0" collapsed="false">
      <c r="G489" s="19"/>
      <c r="I489" s="19"/>
      <c r="P489" s="19"/>
      <c r="R489" s="1" t="str">
        <f aca="false">IF(N489="Sim","Fechado (Total)",IF(N489="Parcial","Fechado (Parcial)",IF(N489="Não","Perdido",IF(N489="Pendente","Pendente",IF(N489="Não precisa no momento","Não Precisa no Momento",IF(L489="Sim","Plano de Tratamento",IF(J489="Não","Não Compareceu",IF(J489="Sim","Compareceu",IF(H489="Não","Perdido",IF(H489="Sim","Consulta Marcada",IF(A489="","","Novo Paciente")))))))))))</f>
        <v/>
      </c>
      <c r="T489" s="1" t="str">
        <f aca="false">IF(A489="","",SUMPRODUCT(($R$2:R489=R489)*($A$2:A489&lt;&gt;"")))</f>
        <v/>
      </c>
      <c r="U489" s="1" t="str">
        <f aca="false">IF(A489="","",R489&amp;"|"&amp;T489)</f>
        <v/>
      </c>
      <c r="V489" s="1" t="str">
        <f aca="false">IF(G489="","",TEXT(G489,"mm/yyyy"))</f>
        <v/>
      </c>
      <c r="W489" s="1" t="str">
        <f aca="false">IF(P489="","",TEXT(P489,"mm/yyyy"))</f>
        <v/>
      </c>
      <c r="X489" s="1" t="str">
        <f aca="false">IF(A489="","",IF(OR(R489="Fechado (Total)",R489="Fechado (Parcial)"),"Fechado|"&amp;SUMPRODUCT((($R$2:R489="Fechado (Total)")+($R$2:R489="Fechado (Parcial)"))*($A$2:A489&lt;&gt;"")),""))</f>
        <v/>
      </c>
      <c r="Y489" s="1" t="str">
        <f aca="false">IF(A489="","",IF(D489="Indicação",SUMPRODUCT(($D$2:D489="Indicação")*($A$2:A489&lt;&gt;"")),""))</f>
        <v/>
      </c>
      <c r="Z489" s="1" t="str">
        <f aca="false">IF(Y489="","","Indicacao|"&amp;Y489)</f>
        <v/>
      </c>
      <c r="AA489" s="1" t="str">
        <f aca="false">IF(I489="","",TEXT(I489,"mm/yyyy"))</f>
        <v/>
      </c>
    </row>
    <row r="490" customFormat="false" ht="15.75" hidden="false" customHeight="true" outlineLevel="0" collapsed="false">
      <c r="G490" s="19"/>
      <c r="I490" s="19"/>
      <c r="P490" s="19"/>
      <c r="R490" s="1" t="str">
        <f aca="false">IF(N490="Sim","Fechado (Total)",IF(N490="Parcial","Fechado (Parcial)",IF(N490="Não","Perdido",IF(N490="Pendente","Pendente",IF(N490="Não precisa no momento","Não Precisa no Momento",IF(L490="Sim","Plano de Tratamento",IF(J490="Não","Não Compareceu",IF(J490="Sim","Compareceu",IF(H490="Não","Perdido",IF(H490="Sim","Consulta Marcada",IF(A490="","","Novo Paciente")))))))))))</f>
        <v/>
      </c>
      <c r="T490" s="1" t="str">
        <f aca="false">IF(A490="","",SUMPRODUCT(($R$2:R490=R490)*($A$2:A490&lt;&gt;"")))</f>
        <v/>
      </c>
      <c r="U490" s="1" t="str">
        <f aca="false">IF(A490="","",R490&amp;"|"&amp;T490)</f>
        <v/>
      </c>
      <c r="V490" s="1" t="str">
        <f aca="false">IF(G490="","",TEXT(G490,"mm/yyyy"))</f>
        <v/>
      </c>
      <c r="W490" s="1" t="str">
        <f aca="false">IF(P490="","",TEXT(P490,"mm/yyyy"))</f>
        <v/>
      </c>
      <c r="X490" s="1" t="str">
        <f aca="false">IF(A490="","",IF(OR(R490="Fechado (Total)",R490="Fechado (Parcial)"),"Fechado|"&amp;SUMPRODUCT((($R$2:R490="Fechado (Total)")+($R$2:R490="Fechado (Parcial)"))*($A$2:A490&lt;&gt;"")),""))</f>
        <v/>
      </c>
      <c r="Y490" s="1" t="str">
        <f aca="false">IF(A490="","",IF(D490="Indicação",SUMPRODUCT(($D$2:D490="Indicação")*($A$2:A490&lt;&gt;"")),""))</f>
        <v/>
      </c>
      <c r="Z490" s="1" t="str">
        <f aca="false">IF(Y490="","","Indicacao|"&amp;Y490)</f>
        <v/>
      </c>
      <c r="AA490" s="1" t="str">
        <f aca="false">IF(I490="","",TEXT(I490,"mm/yyyy"))</f>
        <v/>
      </c>
    </row>
    <row r="491" customFormat="false" ht="15.75" hidden="false" customHeight="true" outlineLevel="0" collapsed="false">
      <c r="G491" s="19"/>
      <c r="I491" s="19"/>
      <c r="P491" s="19"/>
      <c r="R491" s="1" t="str">
        <f aca="false">IF(N491="Sim","Fechado (Total)",IF(N491="Parcial","Fechado (Parcial)",IF(N491="Não","Perdido",IF(N491="Pendente","Pendente",IF(N491="Não precisa no momento","Não Precisa no Momento",IF(L491="Sim","Plano de Tratamento",IF(J491="Não","Não Compareceu",IF(J491="Sim","Compareceu",IF(H491="Não","Perdido",IF(H491="Sim","Consulta Marcada",IF(A491="","","Novo Paciente")))))))))))</f>
        <v/>
      </c>
      <c r="T491" s="1" t="str">
        <f aca="false">IF(A491="","",SUMPRODUCT(($R$2:R491=R491)*($A$2:A491&lt;&gt;"")))</f>
        <v/>
      </c>
      <c r="U491" s="1" t="str">
        <f aca="false">IF(A491="","",R491&amp;"|"&amp;T491)</f>
        <v/>
      </c>
      <c r="V491" s="1" t="str">
        <f aca="false">IF(G491="","",TEXT(G491,"mm/yyyy"))</f>
        <v/>
      </c>
      <c r="W491" s="1" t="str">
        <f aca="false">IF(P491="","",TEXT(P491,"mm/yyyy"))</f>
        <v/>
      </c>
      <c r="X491" s="1" t="str">
        <f aca="false">IF(A491="","",IF(OR(R491="Fechado (Total)",R491="Fechado (Parcial)"),"Fechado|"&amp;SUMPRODUCT((($R$2:R491="Fechado (Total)")+($R$2:R491="Fechado (Parcial)"))*($A$2:A491&lt;&gt;"")),""))</f>
        <v/>
      </c>
      <c r="Y491" s="1" t="str">
        <f aca="false">IF(A491="","",IF(D491="Indicação",SUMPRODUCT(($D$2:D491="Indicação")*($A$2:A491&lt;&gt;"")),""))</f>
        <v/>
      </c>
      <c r="Z491" s="1" t="str">
        <f aca="false">IF(Y491="","","Indicacao|"&amp;Y491)</f>
        <v/>
      </c>
      <c r="AA491" s="1" t="str">
        <f aca="false">IF(I491="","",TEXT(I491,"mm/yyyy"))</f>
        <v/>
      </c>
    </row>
    <row r="492" customFormat="false" ht="15.75" hidden="false" customHeight="true" outlineLevel="0" collapsed="false">
      <c r="G492" s="19"/>
      <c r="I492" s="19"/>
      <c r="P492" s="19"/>
      <c r="R492" s="1" t="str">
        <f aca="false">IF(N492="Sim","Fechado (Total)",IF(N492="Parcial","Fechado (Parcial)",IF(N492="Não","Perdido",IF(N492="Pendente","Pendente",IF(N492="Não precisa no momento","Não Precisa no Momento",IF(L492="Sim","Plano de Tratamento",IF(J492="Não","Não Compareceu",IF(J492="Sim","Compareceu",IF(H492="Não","Perdido",IF(H492="Sim","Consulta Marcada",IF(A492="","","Novo Paciente")))))))))))</f>
        <v/>
      </c>
      <c r="T492" s="1" t="str">
        <f aca="false">IF(A492="","",SUMPRODUCT(($R$2:R492=R492)*($A$2:A492&lt;&gt;"")))</f>
        <v/>
      </c>
      <c r="U492" s="1" t="str">
        <f aca="false">IF(A492="","",R492&amp;"|"&amp;T492)</f>
        <v/>
      </c>
      <c r="V492" s="1" t="str">
        <f aca="false">IF(G492="","",TEXT(G492,"mm/yyyy"))</f>
        <v/>
      </c>
      <c r="W492" s="1" t="str">
        <f aca="false">IF(P492="","",TEXT(P492,"mm/yyyy"))</f>
        <v/>
      </c>
      <c r="X492" s="1" t="str">
        <f aca="false">IF(A492="","",IF(OR(R492="Fechado (Total)",R492="Fechado (Parcial)"),"Fechado|"&amp;SUMPRODUCT((($R$2:R492="Fechado (Total)")+($R$2:R492="Fechado (Parcial)"))*($A$2:A492&lt;&gt;"")),""))</f>
        <v/>
      </c>
      <c r="Y492" s="1" t="str">
        <f aca="false">IF(A492="","",IF(D492="Indicação",SUMPRODUCT(($D$2:D492="Indicação")*($A$2:A492&lt;&gt;"")),""))</f>
        <v/>
      </c>
      <c r="Z492" s="1" t="str">
        <f aca="false">IF(Y492="","","Indicacao|"&amp;Y492)</f>
        <v/>
      </c>
      <c r="AA492" s="1" t="str">
        <f aca="false">IF(I492="","",TEXT(I492,"mm/yyyy"))</f>
        <v/>
      </c>
    </row>
    <row r="493" customFormat="false" ht="15.75" hidden="false" customHeight="true" outlineLevel="0" collapsed="false">
      <c r="G493" s="19"/>
      <c r="I493" s="19"/>
      <c r="P493" s="19"/>
      <c r="R493" s="1" t="str">
        <f aca="false">IF(N493="Sim","Fechado (Total)",IF(N493="Parcial","Fechado (Parcial)",IF(N493="Não","Perdido",IF(N493="Pendente","Pendente",IF(N493="Não precisa no momento","Não Precisa no Momento",IF(L493="Sim","Plano de Tratamento",IF(J493="Não","Não Compareceu",IF(J493="Sim","Compareceu",IF(H493="Não","Perdido",IF(H493="Sim","Consulta Marcada",IF(A493="","","Novo Paciente")))))))))))</f>
        <v/>
      </c>
      <c r="T493" s="1" t="str">
        <f aca="false">IF(A493="","",SUMPRODUCT(($R$2:R493=R493)*($A$2:A493&lt;&gt;"")))</f>
        <v/>
      </c>
      <c r="U493" s="1" t="str">
        <f aca="false">IF(A493="","",R493&amp;"|"&amp;T493)</f>
        <v/>
      </c>
      <c r="V493" s="1" t="str">
        <f aca="false">IF(G493="","",TEXT(G493,"mm/yyyy"))</f>
        <v/>
      </c>
      <c r="W493" s="1" t="str">
        <f aca="false">IF(P493="","",TEXT(P493,"mm/yyyy"))</f>
        <v/>
      </c>
      <c r="X493" s="1" t="str">
        <f aca="false">IF(A493="","",IF(OR(R493="Fechado (Total)",R493="Fechado (Parcial)"),"Fechado|"&amp;SUMPRODUCT((($R$2:R493="Fechado (Total)")+($R$2:R493="Fechado (Parcial)"))*($A$2:A493&lt;&gt;"")),""))</f>
        <v/>
      </c>
      <c r="Y493" s="1" t="str">
        <f aca="false">IF(A493="","",IF(D493="Indicação",SUMPRODUCT(($D$2:D493="Indicação")*($A$2:A493&lt;&gt;"")),""))</f>
        <v/>
      </c>
      <c r="Z493" s="1" t="str">
        <f aca="false">IF(Y493="","","Indicacao|"&amp;Y493)</f>
        <v/>
      </c>
      <c r="AA493" s="1" t="str">
        <f aca="false">IF(I493="","",TEXT(I493,"mm/yyyy"))</f>
        <v/>
      </c>
    </row>
    <row r="494" customFormat="false" ht="15.75" hidden="false" customHeight="true" outlineLevel="0" collapsed="false">
      <c r="G494" s="19"/>
      <c r="I494" s="19"/>
      <c r="P494" s="19"/>
      <c r="R494" s="1" t="str">
        <f aca="false">IF(N494="Sim","Fechado (Total)",IF(N494="Parcial","Fechado (Parcial)",IF(N494="Não","Perdido",IF(N494="Pendente","Pendente",IF(N494="Não precisa no momento","Não Precisa no Momento",IF(L494="Sim","Plano de Tratamento",IF(J494="Não","Não Compareceu",IF(J494="Sim","Compareceu",IF(H494="Não","Perdido",IF(H494="Sim","Consulta Marcada",IF(A494="","","Novo Paciente")))))))))))</f>
        <v/>
      </c>
      <c r="T494" s="1" t="str">
        <f aca="false">IF(A494="","",SUMPRODUCT(($R$2:R494=R494)*($A$2:A494&lt;&gt;"")))</f>
        <v/>
      </c>
      <c r="U494" s="1" t="str">
        <f aca="false">IF(A494="","",R494&amp;"|"&amp;T494)</f>
        <v/>
      </c>
      <c r="V494" s="1" t="str">
        <f aca="false">IF(G494="","",TEXT(G494,"mm/yyyy"))</f>
        <v/>
      </c>
      <c r="W494" s="1" t="str">
        <f aca="false">IF(P494="","",TEXT(P494,"mm/yyyy"))</f>
        <v/>
      </c>
      <c r="X494" s="1" t="str">
        <f aca="false">IF(A494="","",IF(OR(R494="Fechado (Total)",R494="Fechado (Parcial)"),"Fechado|"&amp;SUMPRODUCT((($R$2:R494="Fechado (Total)")+($R$2:R494="Fechado (Parcial)"))*($A$2:A494&lt;&gt;"")),""))</f>
        <v/>
      </c>
      <c r="Y494" s="1" t="str">
        <f aca="false">IF(A494="","",IF(D494="Indicação",SUMPRODUCT(($D$2:D494="Indicação")*($A$2:A494&lt;&gt;"")),""))</f>
        <v/>
      </c>
      <c r="Z494" s="1" t="str">
        <f aca="false">IF(Y494="","","Indicacao|"&amp;Y494)</f>
        <v/>
      </c>
      <c r="AA494" s="1" t="str">
        <f aca="false">IF(I494="","",TEXT(I494,"mm/yyyy"))</f>
        <v/>
      </c>
    </row>
    <row r="495" customFormat="false" ht="15.75" hidden="false" customHeight="true" outlineLevel="0" collapsed="false">
      <c r="G495" s="19"/>
      <c r="I495" s="19"/>
      <c r="P495" s="19"/>
      <c r="R495" s="1" t="str">
        <f aca="false">IF(N495="Sim","Fechado (Total)",IF(N495="Parcial","Fechado (Parcial)",IF(N495="Não","Perdido",IF(N495="Pendente","Pendente",IF(N495="Não precisa no momento","Não Precisa no Momento",IF(L495="Sim","Plano de Tratamento",IF(J495="Não","Não Compareceu",IF(J495="Sim","Compareceu",IF(H495="Não","Perdido",IF(H495="Sim","Consulta Marcada",IF(A495="","","Novo Paciente")))))))))))</f>
        <v/>
      </c>
      <c r="T495" s="1" t="str">
        <f aca="false">IF(A495="","",SUMPRODUCT(($R$2:R495=R495)*($A$2:A495&lt;&gt;"")))</f>
        <v/>
      </c>
      <c r="U495" s="1" t="str">
        <f aca="false">IF(A495="","",R495&amp;"|"&amp;T495)</f>
        <v/>
      </c>
      <c r="V495" s="1" t="str">
        <f aca="false">IF(G495="","",TEXT(G495,"mm/yyyy"))</f>
        <v/>
      </c>
      <c r="W495" s="1" t="str">
        <f aca="false">IF(P495="","",TEXT(P495,"mm/yyyy"))</f>
        <v/>
      </c>
      <c r="X495" s="1" t="str">
        <f aca="false">IF(A495="","",IF(OR(R495="Fechado (Total)",R495="Fechado (Parcial)"),"Fechado|"&amp;SUMPRODUCT((($R$2:R495="Fechado (Total)")+($R$2:R495="Fechado (Parcial)"))*($A$2:A495&lt;&gt;"")),""))</f>
        <v/>
      </c>
      <c r="Y495" s="1" t="str">
        <f aca="false">IF(A495="","",IF(D495="Indicação",SUMPRODUCT(($D$2:D495="Indicação")*($A$2:A495&lt;&gt;"")),""))</f>
        <v/>
      </c>
      <c r="Z495" s="1" t="str">
        <f aca="false">IF(Y495="","","Indicacao|"&amp;Y495)</f>
        <v/>
      </c>
      <c r="AA495" s="1" t="str">
        <f aca="false">IF(I495="","",TEXT(I495,"mm/yyyy"))</f>
        <v/>
      </c>
    </row>
    <row r="496" customFormat="false" ht="15.75" hidden="false" customHeight="true" outlineLevel="0" collapsed="false">
      <c r="G496" s="19"/>
      <c r="I496" s="19"/>
      <c r="P496" s="19"/>
      <c r="R496" s="1" t="str">
        <f aca="false">IF(N496="Sim","Fechado (Total)",IF(N496="Parcial","Fechado (Parcial)",IF(N496="Não","Perdido",IF(N496="Pendente","Pendente",IF(N496="Não precisa no momento","Não Precisa no Momento",IF(L496="Sim","Plano de Tratamento",IF(J496="Não","Não Compareceu",IF(J496="Sim","Compareceu",IF(H496="Não","Perdido",IF(H496="Sim","Consulta Marcada",IF(A496="","","Novo Paciente")))))))))))</f>
        <v/>
      </c>
      <c r="T496" s="1" t="str">
        <f aca="false">IF(A496="","",SUMPRODUCT(($R$2:R496=R496)*($A$2:A496&lt;&gt;"")))</f>
        <v/>
      </c>
      <c r="U496" s="1" t="str">
        <f aca="false">IF(A496="","",R496&amp;"|"&amp;T496)</f>
        <v/>
      </c>
      <c r="V496" s="1" t="str">
        <f aca="false">IF(G496="","",TEXT(G496,"mm/yyyy"))</f>
        <v/>
      </c>
      <c r="W496" s="1" t="str">
        <f aca="false">IF(P496="","",TEXT(P496,"mm/yyyy"))</f>
        <v/>
      </c>
      <c r="X496" s="1" t="str">
        <f aca="false">IF(A496="","",IF(OR(R496="Fechado (Total)",R496="Fechado (Parcial)"),"Fechado|"&amp;SUMPRODUCT((($R$2:R496="Fechado (Total)")+($R$2:R496="Fechado (Parcial)"))*($A$2:A496&lt;&gt;"")),""))</f>
        <v/>
      </c>
      <c r="Y496" s="1" t="str">
        <f aca="false">IF(A496="","",IF(D496="Indicação",SUMPRODUCT(($D$2:D496="Indicação")*($A$2:A496&lt;&gt;"")),""))</f>
        <v/>
      </c>
      <c r="Z496" s="1" t="str">
        <f aca="false">IF(Y496="","","Indicacao|"&amp;Y496)</f>
        <v/>
      </c>
      <c r="AA496" s="1" t="str">
        <f aca="false">IF(I496="","",TEXT(I496,"mm/yyyy"))</f>
        <v/>
      </c>
    </row>
    <row r="497" customFormat="false" ht="15.75" hidden="false" customHeight="true" outlineLevel="0" collapsed="false">
      <c r="G497" s="19"/>
      <c r="I497" s="19"/>
      <c r="P497" s="19"/>
      <c r="R497" s="1" t="str">
        <f aca="false">IF(N497="Sim","Fechado (Total)",IF(N497="Parcial","Fechado (Parcial)",IF(N497="Não","Perdido",IF(N497="Pendente","Pendente",IF(N497="Não precisa no momento","Não Precisa no Momento",IF(L497="Sim","Plano de Tratamento",IF(J497="Não","Não Compareceu",IF(J497="Sim","Compareceu",IF(H497="Não","Perdido",IF(H497="Sim","Consulta Marcada",IF(A497="","","Novo Paciente")))))))))))</f>
        <v/>
      </c>
      <c r="T497" s="1" t="str">
        <f aca="false">IF(A497="","",SUMPRODUCT(($R$2:R497=R497)*($A$2:A497&lt;&gt;"")))</f>
        <v/>
      </c>
      <c r="U497" s="1" t="str">
        <f aca="false">IF(A497="","",R497&amp;"|"&amp;T497)</f>
        <v/>
      </c>
      <c r="V497" s="1" t="str">
        <f aca="false">IF(G497="","",TEXT(G497,"mm/yyyy"))</f>
        <v/>
      </c>
      <c r="W497" s="1" t="str">
        <f aca="false">IF(P497="","",TEXT(P497,"mm/yyyy"))</f>
        <v/>
      </c>
      <c r="X497" s="1" t="str">
        <f aca="false">IF(A497="","",IF(OR(R497="Fechado (Total)",R497="Fechado (Parcial)"),"Fechado|"&amp;SUMPRODUCT((($R$2:R497="Fechado (Total)")+($R$2:R497="Fechado (Parcial)"))*($A$2:A497&lt;&gt;"")),""))</f>
        <v/>
      </c>
      <c r="Y497" s="1" t="str">
        <f aca="false">IF(A497="","",IF(D497="Indicação",SUMPRODUCT(($D$2:D497="Indicação")*($A$2:A497&lt;&gt;"")),""))</f>
        <v/>
      </c>
      <c r="Z497" s="1" t="str">
        <f aca="false">IF(Y497="","","Indicacao|"&amp;Y497)</f>
        <v/>
      </c>
      <c r="AA497" s="1" t="str">
        <f aca="false">IF(I497="","",TEXT(I497,"mm/yyyy"))</f>
        <v/>
      </c>
    </row>
    <row r="498" customFormat="false" ht="15.75" hidden="false" customHeight="true" outlineLevel="0" collapsed="false">
      <c r="G498" s="19"/>
      <c r="I498" s="19"/>
      <c r="P498" s="19"/>
      <c r="R498" s="1" t="str">
        <f aca="false">IF(N498="Sim","Fechado (Total)",IF(N498="Parcial","Fechado (Parcial)",IF(N498="Não","Perdido",IF(N498="Pendente","Pendente",IF(N498="Não precisa no momento","Não Precisa no Momento",IF(L498="Sim","Plano de Tratamento",IF(J498="Não","Não Compareceu",IF(J498="Sim","Compareceu",IF(H498="Não","Perdido",IF(H498="Sim","Consulta Marcada",IF(A498="","","Novo Paciente")))))))))))</f>
        <v/>
      </c>
      <c r="T498" s="1" t="str">
        <f aca="false">IF(A498="","",SUMPRODUCT(($R$2:R498=R498)*($A$2:A498&lt;&gt;"")))</f>
        <v/>
      </c>
      <c r="U498" s="1" t="str">
        <f aca="false">IF(A498="","",R498&amp;"|"&amp;T498)</f>
        <v/>
      </c>
      <c r="V498" s="1" t="str">
        <f aca="false">IF(G498="","",TEXT(G498,"mm/yyyy"))</f>
        <v/>
      </c>
      <c r="W498" s="1" t="str">
        <f aca="false">IF(P498="","",TEXT(P498,"mm/yyyy"))</f>
        <v/>
      </c>
      <c r="X498" s="1" t="str">
        <f aca="false">IF(A498="","",IF(OR(R498="Fechado (Total)",R498="Fechado (Parcial)"),"Fechado|"&amp;SUMPRODUCT((($R$2:R498="Fechado (Total)")+($R$2:R498="Fechado (Parcial)"))*($A$2:A498&lt;&gt;"")),""))</f>
        <v/>
      </c>
      <c r="Y498" s="1" t="str">
        <f aca="false">IF(A498="","",IF(D498="Indicação",SUMPRODUCT(($D$2:D498="Indicação")*($A$2:A498&lt;&gt;"")),""))</f>
        <v/>
      </c>
      <c r="Z498" s="1" t="str">
        <f aca="false">IF(Y498="","","Indicacao|"&amp;Y498)</f>
        <v/>
      </c>
      <c r="AA498" s="1" t="str">
        <f aca="false">IF(I498="","",TEXT(I498,"mm/yyyy"))</f>
        <v/>
      </c>
    </row>
    <row r="499" customFormat="false" ht="15.75" hidden="false" customHeight="true" outlineLevel="0" collapsed="false">
      <c r="G499" s="19"/>
      <c r="I499" s="19"/>
      <c r="P499" s="19"/>
      <c r="R499" s="1" t="str">
        <f aca="false">IF(N499="Sim","Fechado (Total)",IF(N499="Parcial","Fechado (Parcial)",IF(N499="Não","Perdido",IF(N499="Pendente","Pendente",IF(N499="Não precisa no momento","Não Precisa no Momento",IF(L499="Sim","Plano de Tratamento",IF(J499="Não","Não Compareceu",IF(J499="Sim","Compareceu",IF(H499="Não","Perdido",IF(H499="Sim","Consulta Marcada",IF(A499="","","Novo Paciente")))))))))))</f>
        <v/>
      </c>
      <c r="T499" s="1" t="str">
        <f aca="false">IF(A499="","",SUMPRODUCT(($R$2:R499=R499)*($A$2:A499&lt;&gt;"")))</f>
        <v/>
      </c>
      <c r="U499" s="1" t="str">
        <f aca="false">IF(A499="","",R499&amp;"|"&amp;T499)</f>
        <v/>
      </c>
      <c r="V499" s="1" t="str">
        <f aca="false">IF(G499="","",TEXT(G499,"mm/yyyy"))</f>
        <v/>
      </c>
      <c r="W499" s="1" t="str">
        <f aca="false">IF(P499="","",TEXT(P499,"mm/yyyy"))</f>
        <v/>
      </c>
      <c r="X499" s="1" t="str">
        <f aca="false">IF(A499="","",IF(OR(R499="Fechado (Total)",R499="Fechado (Parcial)"),"Fechado|"&amp;SUMPRODUCT((($R$2:R499="Fechado (Total)")+($R$2:R499="Fechado (Parcial)"))*($A$2:A499&lt;&gt;"")),""))</f>
        <v/>
      </c>
      <c r="Y499" s="1" t="str">
        <f aca="false">IF(A499="","",IF(D499="Indicação",SUMPRODUCT(($D$2:D499="Indicação")*($A$2:A499&lt;&gt;"")),""))</f>
        <v/>
      </c>
      <c r="Z499" s="1" t="str">
        <f aca="false">IF(Y499="","","Indicacao|"&amp;Y499)</f>
        <v/>
      </c>
      <c r="AA499" s="1" t="str">
        <f aca="false">IF(I499="","",TEXT(I499,"mm/yyyy"))</f>
        <v/>
      </c>
    </row>
    <row r="500" customFormat="false" ht="15.75" hidden="false" customHeight="true" outlineLevel="0" collapsed="false">
      <c r="G500" s="19"/>
      <c r="I500" s="19"/>
      <c r="P500" s="19"/>
      <c r="R500" s="1" t="str">
        <f aca="false">IF(N500="Sim","Fechado (Total)",IF(N500="Parcial","Fechado (Parcial)",IF(N500="Não","Perdido",IF(N500="Pendente","Pendente",IF(N500="Não precisa no momento","Não Precisa no Momento",IF(L500="Sim","Plano de Tratamento",IF(J500="Não","Não Compareceu",IF(J500="Sim","Compareceu",IF(H500="Não","Perdido",IF(H500="Sim","Consulta Marcada",IF(A500="","","Novo Paciente")))))))))))</f>
        <v/>
      </c>
      <c r="T500" s="1" t="str">
        <f aca="false">IF(A500="","",SUMPRODUCT(($R$2:R500=R500)*($A$2:A500&lt;&gt;"")))</f>
        <v/>
      </c>
      <c r="U500" s="1" t="str">
        <f aca="false">IF(A500="","",R500&amp;"|"&amp;T500)</f>
        <v/>
      </c>
      <c r="V500" s="1" t="str">
        <f aca="false">IF(G500="","",TEXT(G500,"mm/yyyy"))</f>
        <v/>
      </c>
      <c r="W500" s="1" t="str">
        <f aca="false">IF(P500="","",TEXT(P500,"mm/yyyy"))</f>
        <v/>
      </c>
      <c r="X500" s="1" t="str">
        <f aca="false">IF(A500="","",IF(OR(R500="Fechado (Total)",R500="Fechado (Parcial)"),"Fechado|"&amp;SUMPRODUCT((($R$2:R500="Fechado (Total)")+($R$2:R500="Fechado (Parcial)"))*($A$2:A500&lt;&gt;"")),""))</f>
        <v/>
      </c>
      <c r="Y500" s="1" t="str">
        <f aca="false">IF(A500="","",IF(D500="Indicação",SUMPRODUCT(($D$2:D500="Indicação")*($A$2:A500&lt;&gt;"")),""))</f>
        <v/>
      </c>
      <c r="Z500" s="1" t="str">
        <f aca="false">IF(Y500="","","Indicacao|"&amp;Y500)</f>
        <v/>
      </c>
      <c r="AA500" s="1" t="str">
        <f aca="false">IF(I500="","",TEXT(I500,"mm/yyyy"))</f>
        <v/>
      </c>
    </row>
    <row r="501" customFormat="false" ht="15.75" hidden="false" customHeight="true" outlineLevel="0" collapsed="false">
      <c r="G501" s="19"/>
      <c r="I501" s="19"/>
      <c r="P501" s="19"/>
    </row>
    <row r="502" customFormat="false" ht="15.75" hidden="false" customHeight="true" outlineLevel="0" collapsed="false">
      <c r="G502" s="19"/>
      <c r="I502" s="19"/>
      <c r="P502" s="19"/>
    </row>
    <row r="503" customFormat="false" ht="15.75" hidden="false" customHeight="true" outlineLevel="0" collapsed="false">
      <c r="G503" s="19"/>
      <c r="I503" s="19"/>
      <c r="P503" s="19"/>
    </row>
    <row r="504" customFormat="false" ht="15.75" hidden="false" customHeight="true" outlineLevel="0" collapsed="false">
      <c r="G504" s="19"/>
      <c r="I504" s="19"/>
      <c r="P504" s="19"/>
    </row>
    <row r="505" customFormat="false" ht="15.75" hidden="false" customHeight="true" outlineLevel="0" collapsed="false">
      <c r="G505" s="19"/>
      <c r="I505" s="19"/>
      <c r="P505" s="19"/>
    </row>
    <row r="506" customFormat="false" ht="15.75" hidden="false" customHeight="true" outlineLevel="0" collapsed="false">
      <c r="G506" s="19"/>
      <c r="I506" s="19"/>
      <c r="P506" s="19"/>
    </row>
    <row r="507" customFormat="false" ht="15.75" hidden="false" customHeight="true" outlineLevel="0" collapsed="false">
      <c r="G507" s="19"/>
      <c r="I507" s="19"/>
      <c r="P507" s="19"/>
    </row>
    <row r="508" customFormat="false" ht="15.75" hidden="false" customHeight="true" outlineLevel="0" collapsed="false">
      <c r="G508" s="19"/>
      <c r="I508" s="19"/>
      <c r="P508" s="19"/>
    </row>
    <row r="509" customFormat="false" ht="15.75" hidden="false" customHeight="true" outlineLevel="0" collapsed="false">
      <c r="G509" s="19"/>
      <c r="I509" s="19"/>
      <c r="P509" s="19"/>
    </row>
    <row r="510" customFormat="false" ht="15.75" hidden="false" customHeight="true" outlineLevel="0" collapsed="false">
      <c r="G510" s="19"/>
      <c r="I510" s="19"/>
      <c r="P510" s="19"/>
    </row>
    <row r="511" customFormat="false" ht="15.75" hidden="false" customHeight="true" outlineLevel="0" collapsed="false">
      <c r="G511" s="19"/>
      <c r="I511" s="19"/>
      <c r="P511" s="19"/>
    </row>
    <row r="512" customFormat="false" ht="15.75" hidden="false" customHeight="true" outlineLevel="0" collapsed="false">
      <c r="G512" s="19"/>
      <c r="I512" s="19"/>
      <c r="P512" s="19"/>
    </row>
    <row r="513" customFormat="false" ht="15.75" hidden="false" customHeight="true" outlineLevel="0" collapsed="false">
      <c r="G513" s="19"/>
      <c r="I513" s="19"/>
      <c r="P513" s="19"/>
    </row>
    <row r="514" customFormat="false" ht="15.75" hidden="false" customHeight="true" outlineLevel="0" collapsed="false">
      <c r="G514" s="19"/>
      <c r="I514" s="19"/>
      <c r="P514" s="19"/>
    </row>
    <row r="515" customFormat="false" ht="15.75" hidden="false" customHeight="true" outlineLevel="0" collapsed="false">
      <c r="G515" s="19"/>
      <c r="I515" s="19"/>
      <c r="P515" s="19"/>
    </row>
    <row r="516" customFormat="false" ht="15.75" hidden="false" customHeight="true" outlineLevel="0" collapsed="false">
      <c r="G516" s="19"/>
      <c r="I516" s="19"/>
      <c r="P516" s="19"/>
    </row>
    <row r="517" customFormat="false" ht="15.75" hidden="false" customHeight="true" outlineLevel="0" collapsed="false">
      <c r="G517" s="19"/>
      <c r="I517" s="19"/>
      <c r="P517" s="19"/>
    </row>
    <row r="518" customFormat="false" ht="15.75" hidden="false" customHeight="true" outlineLevel="0" collapsed="false">
      <c r="G518" s="19"/>
      <c r="I518" s="19"/>
      <c r="P518" s="19"/>
    </row>
    <row r="519" customFormat="false" ht="15.75" hidden="false" customHeight="true" outlineLevel="0" collapsed="false">
      <c r="G519" s="19"/>
      <c r="I519" s="19"/>
      <c r="P519" s="19"/>
    </row>
    <row r="520" customFormat="false" ht="15.75" hidden="false" customHeight="true" outlineLevel="0" collapsed="false">
      <c r="G520" s="19"/>
      <c r="I520" s="19"/>
      <c r="P520" s="19"/>
    </row>
    <row r="521" customFormat="false" ht="15.75" hidden="false" customHeight="true" outlineLevel="0" collapsed="false">
      <c r="G521" s="19"/>
      <c r="I521" s="19"/>
      <c r="P521" s="19"/>
    </row>
    <row r="522" customFormat="false" ht="15.75" hidden="false" customHeight="true" outlineLevel="0" collapsed="false">
      <c r="G522" s="19"/>
      <c r="I522" s="19"/>
      <c r="P522" s="19"/>
    </row>
    <row r="523" customFormat="false" ht="15.75" hidden="false" customHeight="true" outlineLevel="0" collapsed="false">
      <c r="G523" s="19"/>
      <c r="I523" s="19"/>
      <c r="P523" s="19"/>
    </row>
    <row r="524" customFormat="false" ht="15.75" hidden="false" customHeight="true" outlineLevel="0" collapsed="false">
      <c r="G524" s="19"/>
      <c r="I524" s="19"/>
      <c r="P524" s="19"/>
    </row>
    <row r="525" customFormat="false" ht="15.75" hidden="false" customHeight="true" outlineLevel="0" collapsed="false">
      <c r="G525" s="19"/>
      <c r="I525" s="19"/>
      <c r="P525" s="19"/>
    </row>
    <row r="526" customFormat="false" ht="15.75" hidden="false" customHeight="true" outlineLevel="0" collapsed="false">
      <c r="G526" s="19"/>
      <c r="I526" s="19"/>
      <c r="P526" s="19"/>
    </row>
    <row r="527" customFormat="false" ht="15.75" hidden="false" customHeight="true" outlineLevel="0" collapsed="false">
      <c r="G527" s="19"/>
      <c r="I527" s="19"/>
      <c r="P527" s="19"/>
    </row>
    <row r="528" customFormat="false" ht="15.75" hidden="false" customHeight="true" outlineLevel="0" collapsed="false">
      <c r="G528" s="19"/>
      <c r="I528" s="19"/>
      <c r="P528" s="19"/>
    </row>
    <row r="529" customFormat="false" ht="15.75" hidden="false" customHeight="true" outlineLevel="0" collapsed="false">
      <c r="G529" s="19"/>
      <c r="I529" s="19"/>
      <c r="P529" s="19"/>
    </row>
    <row r="530" customFormat="false" ht="15.75" hidden="false" customHeight="true" outlineLevel="0" collapsed="false">
      <c r="G530" s="19"/>
      <c r="I530" s="19"/>
      <c r="P530" s="19"/>
    </row>
    <row r="531" customFormat="false" ht="15.75" hidden="false" customHeight="true" outlineLevel="0" collapsed="false">
      <c r="G531" s="19"/>
      <c r="I531" s="19"/>
      <c r="P531" s="19"/>
    </row>
    <row r="532" customFormat="false" ht="15.75" hidden="false" customHeight="true" outlineLevel="0" collapsed="false">
      <c r="G532" s="19"/>
      <c r="I532" s="19"/>
      <c r="P532" s="19"/>
    </row>
    <row r="533" customFormat="false" ht="15.75" hidden="false" customHeight="true" outlineLevel="0" collapsed="false">
      <c r="G533" s="19"/>
      <c r="I533" s="19"/>
      <c r="P533" s="19"/>
    </row>
    <row r="534" customFormat="false" ht="15.75" hidden="false" customHeight="true" outlineLevel="0" collapsed="false">
      <c r="G534" s="19"/>
      <c r="I534" s="19"/>
      <c r="P534" s="19"/>
    </row>
    <row r="535" customFormat="false" ht="15.75" hidden="false" customHeight="true" outlineLevel="0" collapsed="false">
      <c r="G535" s="19"/>
      <c r="I535" s="19"/>
      <c r="P535" s="19"/>
    </row>
    <row r="536" customFormat="false" ht="15.75" hidden="false" customHeight="true" outlineLevel="0" collapsed="false">
      <c r="G536" s="19"/>
      <c r="I536" s="19"/>
      <c r="P536" s="19"/>
    </row>
    <row r="537" customFormat="false" ht="15.75" hidden="false" customHeight="true" outlineLevel="0" collapsed="false">
      <c r="G537" s="19"/>
      <c r="I537" s="19"/>
      <c r="P537" s="19"/>
    </row>
    <row r="538" customFormat="false" ht="15.75" hidden="false" customHeight="true" outlineLevel="0" collapsed="false">
      <c r="G538" s="19"/>
      <c r="I538" s="19"/>
      <c r="P538" s="19"/>
    </row>
    <row r="539" customFormat="false" ht="15.75" hidden="false" customHeight="true" outlineLevel="0" collapsed="false">
      <c r="G539" s="19"/>
      <c r="I539" s="19"/>
      <c r="P539" s="19"/>
    </row>
    <row r="540" customFormat="false" ht="15.75" hidden="false" customHeight="true" outlineLevel="0" collapsed="false">
      <c r="G540" s="19"/>
      <c r="I540" s="19"/>
      <c r="P540" s="19"/>
    </row>
    <row r="541" customFormat="false" ht="15.75" hidden="false" customHeight="true" outlineLevel="0" collapsed="false">
      <c r="G541" s="19"/>
      <c r="I541" s="19"/>
      <c r="P541" s="19"/>
    </row>
    <row r="542" customFormat="false" ht="15.75" hidden="false" customHeight="true" outlineLevel="0" collapsed="false">
      <c r="G542" s="19"/>
      <c r="I542" s="19"/>
      <c r="P542" s="19"/>
    </row>
    <row r="543" customFormat="false" ht="15.75" hidden="false" customHeight="true" outlineLevel="0" collapsed="false">
      <c r="G543" s="19"/>
      <c r="I543" s="19"/>
      <c r="P543" s="19"/>
    </row>
    <row r="544" customFormat="false" ht="15.75" hidden="false" customHeight="true" outlineLevel="0" collapsed="false">
      <c r="G544" s="19"/>
      <c r="I544" s="19"/>
      <c r="P544" s="19"/>
    </row>
    <row r="545" customFormat="false" ht="15.75" hidden="false" customHeight="true" outlineLevel="0" collapsed="false">
      <c r="G545" s="19"/>
      <c r="I545" s="19"/>
      <c r="P545" s="19"/>
    </row>
    <row r="546" customFormat="false" ht="15.75" hidden="false" customHeight="true" outlineLevel="0" collapsed="false">
      <c r="G546" s="19"/>
      <c r="I546" s="19"/>
      <c r="P546" s="19"/>
    </row>
    <row r="547" customFormat="false" ht="15.75" hidden="false" customHeight="true" outlineLevel="0" collapsed="false">
      <c r="G547" s="19"/>
      <c r="I547" s="19"/>
      <c r="P547" s="19"/>
    </row>
    <row r="548" customFormat="false" ht="15.75" hidden="false" customHeight="true" outlineLevel="0" collapsed="false">
      <c r="G548" s="19"/>
      <c r="I548" s="19"/>
      <c r="P548" s="19"/>
    </row>
    <row r="549" customFormat="false" ht="15.75" hidden="false" customHeight="true" outlineLevel="0" collapsed="false">
      <c r="G549" s="19"/>
      <c r="I549" s="19"/>
      <c r="P549" s="19"/>
    </row>
    <row r="550" customFormat="false" ht="15.75" hidden="false" customHeight="true" outlineLevel="0" collapsed="false">
      <c r="G550" s="19"/>
      <c r="I550" s="19"/>
      <c r="P550" s="19"/>
    </row>
    <row r="551" customFormat="false" ht="15.75" hidden="false" customHeight="true" outlineLevel="0" collapsed="false">
      <c r="G551" s="19"/>
      <c r="I551" s="19"/>
      <c r="P551" s="19"/>
    </row>
    <row r="552" customFormat="false" ht="15.75" hidden="false" customHeight="true" outlineLevel="0" collapsed="false">
      <c r="G552" s="19"/>
      <c r="I552" s="19"/>
      <c r="P552" s="19"/>
    </row>
    <row r="553" customFormat="false" ht="15.75" hidden="false" customHeight="true" outlineLevel="0" collapsed="false">
      <c r="G553" s="19"/>
      <c r="I553" s="19"/>
      <c r="P553" s="19"/>
    </row>
    <row r="554" customFormat="false" ht="15.75" hidden="false" customHeight="true" outlineLevel="0" collapsed="false">
      <c r="G554" s="19"/>
      <c r="I554" s="19"/>
      <c r="P554" s="19"/>
    </row>
    <row r="555" customFormat="false" ht="15.75" hidden="false" customHeight="true" outlineLevel="0" collapsed="false">
      <c r="G555" s="19"/>
      <c r="I555" s="19"/>
      <c r="P555" s="19"/>
    </row>
    <row r="556" customFormat="false" ht="15.75" hidden="false" customHeight="true" outlineLevel="0" collapsed="false">
      <c r="G556" s="19"/>
      <c r="I556" s="19"/>
      <c r="P556" s="19"/>
    </row>
    <row r="557" customFormat="false" ht="15.75" hidden="false" customHeight="true" outlineLevel="0" collapsed="false">
      <c r="G557" s="19"/>
      <c r="I557" s="19"/>
      <c r="P557" s="19"/>
    </row>
    <row r="558" customFormat="false" ht="15.75" hidden="false" customHeight="true" outlineLevel="0" collapsed="false">
      <c r="G558" s="19"/>
      <c r="I558" s="19"/>
      <c r="P558" s="19"/>
    </row>
    <row r="559" customFormat="false" ht="15.75" hidden="false" customHeight="true" outlineLevel="0" collapsed="false">
      <c r="G559" s="19"/>
      <c r="I559" s="19"/>
      <c r="P559" s="19"/>
    </row>
    <row r="560" customFormat="false" ht="15.75" hidden="false" customHeight="true" outlineLevel="0" collapsed="false">
      <c r="G560" s="19"/>
      <c r="I560" s="19"/>
      <c r="P560" s="19"/>
    </row>
    <row r="561" customFormat="false" ht="15.75" hidden="false" customHeight="true" outlineLevel="0" collapsed="false">
      <c r="G561" s="19"/>
      <c r="I561" s="19"/>
      <c r="P561" s="19"/>
    </row>
    <row r="562" customFormat="false" ht="15.75" hidden="false" customHeight="true" outlineLevel="0" collapsed="false">
      <c r="G562" s="19"/>
      <c r="I562" s="19"/>
      <c r="P562" s="19"/>
    </row>
    <row r="563" customFormat="false" ht="15.75" hidden="false" customHeight="true" outlineLevel="0" collapsed="false">
      <c r="G563" s="19"/>
      <c r="I563" s="19"/>
      <c r="P563" s="19"/>
    </row>
    <row r="564" customFormat="false" ht="15.75" hidden="false" customHeight="true" outlineLevel="0" collapsed="false">
      <c r="G564" s="19"/>
      <c r="I564" s="19"/>
      <c r="P564" s="19"/>
    </row>
    <row r="565" customFormat="false" ht="15.75" hidden="false" customHeight="true" outlineLevel="0" collapsed="false">
      <c r="G565" s="19"/>
      <c r="I565" s="19"/>
      <c r="P565" s="19"/>
    </row>
    <row r="566" customFormat="false" ht="15.75" hidden="false" customHeight="true" outlineLevel="0" collapsed="false">
      <c r="G566" s="19"/>
      <c r="I566" s="19"/>
      <c r="P566" s="19"/>
    </row>
    <row r="567" customFormat="false" ht="15.75" hidden="false" customHeight="true" outlineLevel="0" collapsed="false">
      <c r="G567" s="19"/>
      <c r="I567" s="19"/>
      <c r="P567" s="19"/>
    </row>
    <row r="568" customFormat="false" ht="15.75" hidden="false" customHeight="true" outlineLevel="0" collapsed="false">
      <c r="G568" s="19"/>
      <c r="I568" s="19"/>
      <c r="P568" s="19"/>
    </row>
    <row r="569" customFormat="false" ht="15.75" hidden="false" customHeight="true" outlineLevel="0" collapsed="false">
      <c r="G569" s="19"/>
      <c r="I569" s="19"/>
      <c r="P569" s="19"/>
    </row>
    <row r="570" customFormat="false" ht="15.75" hidden="false" customHeight="true" outlineLevel="0" collapsed="false">
      <c r="G570" s="19"/>
      <c r="I570" s="19"/>
      <c r="P570" s="19"/>
    </row>
    <row r="571" customFormat="false" ht="15.75" hidden="false" customHeight="true" outlineLevel="0" collapsed="false">
      <c r="G571" s="19"/>
      <c r="I571" s="19"/>
      <c r="P571" s="19"/>
    </row>
    <row r="572" customFormat="false" ht="15.75" hidden="false" customHeight="true" outlineLevel="0" collapsed="false">
      <c r="G572" s="19"/>
      <c r="I572" s="19"/>
      <c r="P572" s="19"/>
    </row>
    <row r="573" customFormat="false" ht="15.75" hidden="false" customHeight="true" outlineLevel="0" collapsed="false">
      <c r="G573" s="19"/>
      <c r="I573" s="19"/>
      <c r="P573" s="19"/>
    </row>
    <row r="574" customFormat="false" ht="15.75" hidden="false" customHeight="true" outlineLevel="0" collapsed="false">
      <c r="G574" s="19"/>
      <c r="I574" s="19"/>
      <c r="P574" s="19"/>
    </row>
    <row r="575" customFormat="false" ht="15.75" hidden="false" customHeight="true" outlineLevel="0" collapsed="false">
      <c r="G575" s="19"/>
      <c r="I575" s="19"/>
      <c r="P575" s="19"/>
    </row>
    <row r="576" customFormat="false" ht="15.75" hidden="false" customHeight="true" outlineLevel="0" collapsed="false">
      <c r="G576" s="19"/>
      <c r="I576" s="19"/>
      <c r="P576" s="19"/>
    </row>
    <row r="577" customFormat="false" ht="15.75" hidden="false" customHeight="true" outlineLevel="0" collapsed="false">
      <c r="G577" s="19"/>
      <c r="I577" s="19"/>
      <c r="P577" s="19"/>
    </row>
    <row r="578" customFormat="false" ht="15.75" hidden="false" customHeight="true" outlineLevel="0" collapsed="false">
      <c r="G578" s="19"/>
      <c r="I578" s="19"/>
      <c r="P578" s="19"/>
    </row>
    <row r="579" customFormat="false" ht="15.75" hidden="false" customHeight="true" outlineLevel="0" collapsed="false">
      <c r="G579" s="19"/>
      <c r="I579" s="19"/>
      <c r="P579" s="19"/>
    </row>
    <row r="580" customFormat="false" ht="15.75" hidden="false" customHeight="true" outlineLevel="0" collapsed="false">
      <c r="G580" s="19"/>
      <c r="I580" s="19"/>
      <c r="P580" s="19"/>
    </row>
    <row r="581" customFormat="false" ht="15.75" hidden="false" customHeight="true" outlineLevel="0" collapsed="false">
      <c r="G581" s="19"/>
      <c r="I581" s="19"/>
      <c r="P581" s="19"/>
    </row>
    <row r="582" customFormat="false" ht="15.75" hidden="false" customHeight="true" outlineLevel="0" collapsed="false">
      <c r="G582" s="19"/>
      <c r="I582" s="19"/>
      <c r="P582" s="19"/>
    </row>
    <row r="583" customFormat="false" ht="15.75" hidden="false" customHeight="true" outlineLevel="0" collapsed="false">
      <c r="G583" s="19"/>
      <c r="I583" s="19"/>
      <c r="P583" s="19"/>
    </row>
    <row r="584" customFormat="false" ht="15.75" hidden="false" customHeight="true" outlineLevel="0" collapsed="false">
      <c r="G584" s="19"/>
      <c r="I584" s="19"/>
      <c r="P584" s="19"/>
    </row>
    <row r="585" customFormat="false" ht="15.75" hidden="false" customHeight="true" outlineLevel="0" collapsed="false">
      <c r="G585" s="19"/>
      <c r="I585" s="19"/>
      <c r="P585" s="19"/>
    </row>
    <row r="586" customFormat="false" ht="15.75" hidden="false" customHeight="true" outlineLevel="0" collapsed="false">
      <c r="G586" s="19"/>
      <c r="I586" s="19"/>
      <c r="P586" s="19"/>
    </row>
    <row r="587" customFormat="false" ht="15.75" hidden="false" customHeight="true" outlineLevel="0" collapsed="false">
      <c r="G587" s="19"/>
      <c r="I587" s="19"/>
      <c r="P587" s="19"/>
    </row>
    <row r="588" customFormat="false" ht="15.75" hidden="false" customHeight="true" outlineLevel="0" collapsed="false">
      <c r="G588" s="19"/>
      <c r="I588" s="19"/>
      <c r="P588" s="19"/>
    </row>
    <row r="589" customFormat="false" ht="15.75" hidden="false" customHeight="true" outlineLevel="0" collapsed="false">
      <c r="G589" s="19"/>
      <c r="I589" s="19"/>
      <c r="P589" s="19"/>
    </row>
    <row r="590" customFormat="false" ht="15.75" hidden="false" customHeight="true" outlineLevel="0" collapsed="false">
      <c r="G590" s="19"/>
      <c r="I590" s="19"/>
      <c r="P590" s="19"/>
    </row>
    <row r="591" customFormat="false" ht="15.75" hidden="false" customHeight="true" outlineLevel="0" collapsed="false">
      <c r="G591" s="19"/>
      <c r="I591" s="19"/>
      <c r="P591" s="19"/>
    </row>
    <row r="592" customFormat="false" ht="15.75" hidden="false" customHeight="true" outlineLevel="0" collapsed="false">
      <c r="G592" s="19"/>
      <c r="I592" s="19"/>
      <c r="P592" s="19"/>
    </row>
    <row r="593" customFormat="false" ht="15.75" hidden="false" customHeight="true" outlineLevel="0" collapsed="false">
      <c r="G593" s="19"/>
      <c r="I593" s="19"/>
      <c r="P593" s="19"/>
    </row>
    <row r="594" customFormat="false" ht="15.75" hidden="false" customHeight="true" outlineLevel="0" collapsed="false">
      <c r="G594" s="19"/>
      <c r="I594" s="19"/>
      <c r="P594" s="19"/>
    </row>
    <row r="595" customFormat="false" ht="15.75" hidden="false" customHeight="true" outlineLevel="0" collapsed="false">
      <c r="G595" s="19"/>
      <c r="I595" s="19"/>
      <c r="P595" s="19"/>
    </row>
    <row r="596" customFormat="false" ht="15.75" hidden="false" customHeight="true" outlineLevel="0" collapsed="false">
      <c r="G596" s="19"/>
      <c r="I596" s="19"/>
      <c r="P596" s="19"/>
    </row>
    <row r="597" customFormat="false" ht="15.75" hidden="false" customHeight="true" outlineLevel="0" collapsed="false">
      <c r="G597" s="19"/>
      <c r="I597" s="19"/>
      <c r="P597" s="19"/>
    </row>
    <row r="598" customFormat="false" ht="15.75" hidden="false" customHeight="true" outlineLevel="0" collapsed="false">
      <c r="G598" s="19"/>
      <c r="I598" s="19"/>
      <c r="P598" s="19"/>
    </row>
    <row r="599" customFormat="false" ht="15.75" hidden="false" customHeight="true" outlineLevel="0" collapsed="false">
      <c r="G599" s="19"/>
      <c r="I599" s="19"/>
      <c r="P599" s="19"/>
    </row>
    <row r="600" customFormat="false" ht="15.75" hidden="false" customHeight="true" outlineLevel="0" collapsed="false">
      <c r="G600" s="19"/>
      <c r="I600" s="19"/>
      <c r="P600" s="19"/>
    </row>
    <row r="601" customFormat="false" ht="15.75" hidden="false" customHeight="true" outlineLevel="0" collapsed="false">
      <c r="G601" s="19"/>
      <c r="I601" s="19"/>
      <c r="P601" s="19"/>
    </row>
    <row r="602" customFormat="false" ht="15.75" hidden="false" customHeight="true" outlineLevel="0" collapsed="false">
      <c r="G602" s="19"/>
      <c r="I602" s="19"/>
      <c r="P602" s="19"/>
    </row>
    <row r="603" customFormat="false" ht="15.75" hidden="false" customHeight="true" outlineLevel="0" collapsed="false">
      <c r="G603" s="19"/>
      <c r="I603" s="19"/>
      <c r="P603" s="19"/>
    </row>
    <row r="604" customFormat="false" ht="15.75" hidden="false" customHeight="true" outlineLevel="0" collapsed="false">
      <c r="G604" s="19"/>
      <c r="I604" s="19"/>
      <c r="P604" s="19"/>
    </row>
    <row r="605" customFormat="false" ht="15.75" hidden="false" customHeight="true" outlineLevel="0" collapsed="false">
      <c r="G605" s="19"/>
      <c r="I605" s="19"/>
      <c r="P605" s="19"/>
    </row>
    <row r="606" customFormat="false" ht="15.75" hidden="false" customHeight="true" outlineLevel="0" collapsed="false">
      <c r="G606" s="19"/>
      <c r="I606" s="19"/>
      <c r="P606" s="19"/>
    </row>
    <row r="607" customFormat="false" ht="15.75" hidden="false" customHeight="true" outlineLevel="0" collapsed="false">
      <c r="G607" s="19"/>
      <c r="I607" s="19"/>
      <c r="P607" s="19"/>
    </row>
    <row r="608" customFormat="false" ht="15.75" hidden="false" customHeight="true" outlineLevel="0" collapsed="false">
      <c r="G608" s="19"/>
      <c r="I608" s="19"/>
      <c r="P608" s="19"/>
    </row>
    <row r="609" customFormat="false" ht="15.75" hidden="false" customHeight="true" outlineLevel="0" collapsed="false">
      <c r="G609" s="19"/>
      <c r="I609" s="19"/>
      <c r="P609" s="19"/>
    </row>
    <row r="610" customFormat="false" ht="15.75" hidden="false" customHeight="true" outlineLevel="0" collapsed="false">
      <c r="G610" s="19"/>
      <c r="I610" s="19"/>
      <c r="P610" s="19"/>
    </row>
    <row r="611" customFormat="false" ht="15.75" hidden="false" customHeight="true" outlineLevel="0" collapsed="false">
      <c r="G611" s="19"/>
      <c r="I611" s="19"/>
      <c r="P611" s="19"/>
    </row>
    <row r="612" customFormat="false" ht="15.75" hidden="false" customHeight="true" outlineLevel="0" collapsed="false">
      <c r="G612" s="19"/>
      <c r="I612" s="19"/>
      <c r="P612" s="19"/>
    </row>
    <row r="613" customFormat="false" ht="15.75" hidden="false" customHeight="true" outlineLevel="0" collapsed="false">
      <c r="G613" s="19"/>
      <c r="I613" s="19"/>
      <c r="P613" s="19"/>
    </row>
    <row r="614" customFormat="false" ht="15.75" hidden="false" customHeight="true" outlineLevel="0" collapsed="false">
      <c r="G614" s="19"/>
      <c r="I614" s="19"/>
      <c r="P614" s="19"/>
    </row>
    <row r="615" customFormat="false" ht="15.75" hidden="false" customHeight="true" outlineLevel="0" collapsed="false">
      <c r="G615" s="19"/>
      <c r="I615" s="19"/>
      <c r="P615" s="19"/>
    </row>
    <row r="616" customFormat="false" ht="15.75" hidden="false" customHeight="true" outlineLevel="0" collapsed="false">
      <c r="G616" s="19"/>
      <c r="I616" s="19"/>
      <c r="P616" s="19"/>
    </row>
    <row r="617" customFormat="false" ht="15.75" hidden="false" customHeight="true" outlineLevel="0" collapsed="false">
      <c r="G617" s="19"/>
      <c r="I617" s="19"/>
      <c r="P617" s="19"/>
    </row>
    <row r="618" customFormat="false" ht="15.75" hidden="false" customHeight="true" outlineLevel="0" collapsed="false">
      <c r="G618" s="19"/>
      <c r="I618" s="19"/>
      <c r="P618" s="19"/>
    </row>
    <row r="619" customFormat="false" ht="15.75" hidden="false" customHeight="true" outlineLevel="0" collapsed="false">
      <c r="G619" s="19"/>
      <c r="I619" s="19"/>
      <c r="P619" s="19"/>
    </row>
    <row r="620" customFormat="false" ht="15.75" hidden="false" customHeight="true" outlineLevel="0" collapsed="false">
      <c r="G620" s="19"/>
      <c r="I620" s="19"/>
      <c r="P620" s="19"/>
    </row>
    <row r="621" customFormat="false" ht="15.75" hidden="false" customHeight="true" outlineLevel="0" collapsed="false">
      <c r="G621" s="19"/>
      <c r="I621" s="19"/>
      <c r="P621" s="19"/>
    </row>
    <row r="622" customFormat="false" ht="15.75" hidden="false" customHeight="true" outlineLevel="0" collapsed="false">
      <c r="G622" s="19"/>
      <c r="I622" s="19"/>
      <c r="P622" s="19"/>
    </row>
    <row r="623" customFormat="false" ht="15.75" hidden="false" customHeight="true" outlineLevel="0" collapsed="false">
      <c r="G623" s="19"/>
      <c r="I623" s="19"/>
      <c r="P623" s="19"/>
    </row>
    <row r="624" customFormat="false" ht="15.75" hidden="false" customHeight="true" outlineLevel="0" collapsed="false">
      <c r="G624" s="19"/>
      <c r="I624" s="19"/>
      <c r="P624" s="19"/>
    </row>
    <row r="625" customFormat="false" ht="15.75" hidden="false" customHeight="true" outlineLevel="0" collapsed="false">
      <c r="G625" s="19"/>
      <c r="I625" s="19"/>
      <c r="P625" s="19"/>
    </row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S3"/>
  <conditionalFormatting sqref="R2:R425">
    <cfRule type="expression" priority="2" aboveAverage="0" equalAverage="0" bottom="0" percent="0" rank="0" text="" dxfId="9">
      <formula>LEFT(R2,7)="Fechado"</formula>
    </cfRule>
    <cfRule type="expression" priority="3" aboveAverage="0" equalAverage="0" bottom="0" percent="0" rank="0" text="" dxfId="10">
      <formula>R2="Perdido"</formula>
    </cfRule>
    <cfRule type="expression" priority="4" aboveAverage="0" equalAverage="0" bottom="0" percent="0" rank="0" text="" dxfId="11">
      <formula>R2="Não Compareceu"</formula>
    </cfRule>
  </conditionalFormatting>
  <dataValidations count="6">
    <dataValidation allowBlank="true" errorStyle="stop" operator="between" showDropDown="false" showErrorMessage="false" showInputMessage="false" sqref="H2:H401 J2:L401" type="list">
      <formula1>Listas!$D$2:$D$3</formula1>
      <formula2>0</formula2>
    </dataValidation>
    <dataValidation allowBlank="true" errorStyle="stop" operator="between" showDropDown="false" showErrorMessage="false" showInputMessage="false" sqref="D2:D401" type="list">
      <formula1>Listas!$A$2:$A$8</formula1>
      <formula2>0</formula2>
    </dataValidation>
    <dataValidation allowBlank="true" errorStyle="stop" operator="between" showDropDown="false" showErrorMessage="false" showInputMessage="false" sqref="Q2:Q5 Q7:Q401" type="list">
      <formula1>Listas!$C$2:$C$8</formula1>
      <formula2>0</formula2>
    </dataValidation>
    <dataValidation allowBlank="true" errorStyle="stop" operator="between" showDropDown="false" showErrorMessage="false" showInputMessage="false" sqref="Q6" type="list">
      <formula1>Listas!$C$2:$C$6</formula1>
      <formula2>0</formula2>
    </dataValidation>
    <dataValidation allowBlank="true" errorStyle="stop" operator="between" showDropDown="false" showErrorMessage="false" showInputMessage="false" sqref="F2:F401" type="list">
      <formula1>Listas!$B$2:$B$30</formula1>
      <formula2>0</formula2>
    </dataValidation>
    <dataValidation allowBlank="true" errorStyle="stop" operator="between" showDropDown="false" showErrorMessage="false" showInputMessage="false" sqref="N2:N401" type="list">
      <formula1>Listas!$E$2:$E$400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.71"/>
    <col collapsed="false" customWidth="true" hidden="false" outlineLevel="0" max="3" min="3" style="1" width="4.57"/>
    <col collapsed="false" customWidth="true" hidden="false" outlineLevel="0" max="4" min="4" style="1" width="29.29"/>
    <col collapsed="false" customWidth="true" hidden="false" outlineLevel="0" max="5" min="5" style="1" width="17"/>
    <col collapsed="false" customWidth="true" hidden="false" outlineLevel="0" max="6" min="6" style="1" width="3.43"/>
    <col collapsed="false" customWidth="true" hidden="false" outlineLevel="0" max="7" min="7" style="1" width="22"/>
    <col collapsed="false" customWidth="true" hidden="false" outlineLevel="0" max="8" min="8" style="1" width="17.29"/>
    <col collapsed="false" customWidth="true" hidden="false" outlineLevel="0" max="9" min="9" style="1" width="4.86"/>
    <col collapsed="false" customWidth="true" hidden="false" outlineLevel="0" max="10" min="10" style="1" width="44.57"/>
    <col collapsed="false" customWidth="true" hidden="false" outlineLevel="0" max="11" min="11" style="1" width="15"/>
    <col collapsed="false" customWidth="true" hidden="false" outlineLevel="0" max="12" min="12" style="1" width="3.71"/>
    <col collapsed="false" customWidth="true" hidden="false" outlineLevel="0" max="13" min="13" style="1" width="22"/>
    <col collapsed="false" customWidth="true" hidden="false" outlineLevel="0" max="14" min="14" style="1" width="16.14"/>
    <col collapsed="false" customWidth="true" hidden="false" outlineLevel="0" max="15" min="15" style="1" width="4.43"/>
    <col collapsed="false" customWidth="true" hidden="false" outlineLevel="0" max="16" min="16" style="1" width="24.29"/>
    <col collapsed="false" customWidth="true" hidden="false" outlineLevel="0" max="17" min="17" style="1" width="15.14"/>
    <col collapsed="false" customWidth="true" hidden="false" outlineLevel="0" max="18" min="18" style="1" width="3.86"/>
    <col collapsed="false" customWidth="true" hidden="false" outlineLevel="0" max="19" min="19" style="1" width="26"/>
    <col collapsed="false" customWidth="true" hidden="false" outlineLevel="0" max="20" min="20" style="1" width="29.86"/>
    <col collapsed="false" customWidth="true" hidden="false" outlineLevel="0" max="21" min="21" style="1" width="8.71"/>
    <col collapsed="false" customWidth="true" hidden="false" outlineLevel="0" max="22" min="22" style="1" width="31.16"/>
    <col collapsed="false" customWidth="true" hidden="false" outlineLevel="0" max="23" min="23" style="1" width="59.71"/>
    <col collapsed="false" customWidth="true" hidden="false" outlineLevel="0" max="24" min="24" style="1" width="8.71"/>
    <col collapsed="false" customWidth="true" hidden="false" outlineLevel="0" max="25" min="25" style="1" width="21.57"/>
    <col collapsed="false" customWidth="true" hidden="false" outlineLevel="0" max="26" min="26" style="1" width="10.43"/>
  </cols>
  <sheetData>
    <row r="1" customFormat="false" ht="24" hidden="false" customHeight="true" outlineLevel="0" collapsed="false">
      <c r="A1" s="20" t="s">
        <v>184</v>
      </c>
      <c r="B1" s="20"/>
      <c r="D1" s="20" t="s">
        <v>185</v>
      </c>
      <c r="E1" s="20"/>
      <c r="G1" s="20" t="s">
        <v>186</v>
      </c>
      <c r="H1" s="20"/>
      <c r="J1" s="20" t="s">
        <v>187</v>
      </c>
      <c r="K1" s="20"/>
      <c r="M1" s="20" t="s">
        <v>188</v>
      </c>
      <c r="N1" s="20"/>
      <c r="P1" s="20" t="s">
        <v>189</v>
      </c>
      <c r="Q1" s="20"/>
      <c r="S1" s="20" t="s">
        <v>190</v>
      </c>
      <c r="T1" s="20"/>
      <c r="V1" s="20" t="s">
        <v>191</v>
      </c>
      <c r="W1" s="20"/>
      <c r="Y1" s="20" t="s">
        <v>192</v>
      </c>
      <c r="Z1" s="20"/>
    </row>
    <row r="2" customFormat="false" ht="19.5" hidden="false" customHeight="true" outlineLevel="0" collapsed="false">
      <c r="A2" s="21" t="s">
        <v>0</v>
      </c>
      <c r="B2" s="21" t="s">
        <v>193</v>
      </c>
      <c r="D2" s="21" t="s">
        <v>0</v>
      </c>
      <c r="E2" s="21" t="s">
        <v>194</v>
      </c>
      <c r="G2" s="21" t="s">
        <v>0</v>
      </c>
      <c r="H2" s="21" t="s">
        <v>194</v>
      </c>
      <c r="J2" s="21" t="s">
        <v>0</v>
      </c>
      <c r="K2" s="21" t="s">
        <v>195</v>
      </c>
      <c r="M2" s="21" t="s">
        <v>0</v>
      </c>
      <c r="N2" s="21" t="s">
        <v>196</v>
      </c>
      <c r="P2" s="21" t="s">
        <v>0</v>
      </c>
      <c r="Q2" s="21" t="s">
        <v>197</v>
      </c>
      <c r="S2" s="21" t="s">
        <v>0</v>
      </c>
      <c r="T2" s="21" t="s">
        <v>198</v>
      </c>
      <c r="V2" s="21" t="s">
        <v>0</v>
      </c>
      <c r="W2" s="21" t="s">
        <v>198</v>
      </c>
      <c r="Y2" s="21" t="s">
        <v>0</v>
      </c>
      <c r="Z2" s="21" t="s">
        <v>198</v>
      </c>
    </row>
    <row r="3" customFormat="false" ht="15" hidden="false" customHeight="true" outlineLevel="0" collapsed="false">
      <c r="A3" s="22" t="str">
        <f aca="false" t="array" ref="A3:A3">IFERROR(INDEX(Pacientes!$A:$A, MATCH("Novo Paciente|1", Pacientes!$U:$U, 0)), "")</f>
        <v>João Gabriel Cardoso de Oliveira</v>
      </c>
      <c r="B3" s="23" t="n">
        <f aca="false" t="array" ref="B3:B3">IFERROR(INDEX(Pacientes!$G:$G, MATCH("Novo Paciente|1", Pacientes!$U:$U, 0)), "")</f>
        <v>45511</v>
      </c>
      <c r="D3" s="22" t="str">
        <f aca="false" t="array" ref="D3:D3">IFERROR(INDEX(Pacientes!$A:$A, MATCH("Consulta Marcada|1", Pacientes!$U:$U, 0)), "")</f>
        <v/>
      </c>
      <c r="E3" s="23" t="str">
        <f aca="false" t="array" ref="E3:E3">IFERROR(INDEX(Pacientes!$I:$I, MATCH("Consulta Marcada|1", Pacientes!$U:$U, 0)), "")</f>
        <v/>
      </c>
      <c r="G3" s="22" t="str">
        <f aca="false" t="array" ref="G3:G3">IFERROR(INDEX(Pacientes!$A:$A, MATCH("Não Compareceu|1", Pacientes!$U:$U, 0)), "")</f>
        <v>Gabriela Mendonça Pinheiro de Melo</v>
      </c>
      <c r="H3" s="23" t="n">
        <f aca="false" t="array" ref="H3:H3">IFERROR(INDEX(Pacientes!$I:$I, MATCH("Não Compareceu|1", Pacientes!$U:$U, 0)), "")</f>
        <v>46251</v>
      </c>
      <c r="J3" s="22" t="str">
        <f aca="false" t="array" ref="J3:J3">IFERROR(INDEX(Pacientes!$A:$A, MATCH("Compareceu|1", Pacientes!$U:$U, 0)), "")</f>
        <v>Gabriel da Rocha Bastos</v>
      </c>
      <c r="K3" s="22" t="str">
        <f aca="false" t="array" ref="K3:K3">IFERROR(INDEX(Pacientes!$K:$K, MATCH("Compareceu|1", Pacientes!$U:$U, 0)), "")</f>
        <v>Sim</v>
      </c>
      <c r="M3" s="22" t="str">
        <f aca="false" t="array" ref="M3:M3">IFERROR(INDEX(Pacientes!$A:$A, MATCH("Plano de Tratamento|1", Pacientes!$U:$U, 0)), "")</f>
        <v/>
      </c>
      <c r="N3" s="24" t="str">
        <f aca="false" t="array" ref="N3:N3">IFERROR(INDEX(Pacientes!$M:$M, MATCH("Plano de Tratamento|1", Pacientes!$U:$U, 0)), "")</f>
        <v/>
      </c>
      <c r="P3" s="22" t="str">
        <f aca="false" t="array" ref="P3:P3">IFERROR(INDEX(Pacientes!$A:$A, MATCH("Fechado|1", Pacientes!$X:$X, 0)), "")</f>
        <v>Julia da Silva Costa</v>
      </c>
      <c r="Q3" s="24" t="n">
        <f aca="false" t="array" ref="Q3:Q3">IFERROR(INDEX(Pacientes!$O:$O, MATCH("Fechado|1", Pacientes!$X:$X, 0)), "")</f>
        <v>14700</v>
      </c>
      <c r="S3" s="22" t="str">
        <f aca="false" t="array" ref="S3:S3">IFERROR(INDEX(Pacientes!$A:$A, MATCH("Perdido|1", Pacientes!$U:$U, 0)), "")</f>
        <v>Andrea Reis Ferreira de Melo</v>
      </c>
      <c r="T3" s="22" t="str">
        <f aca="false" t="array" ref="T3:T3">IFERROR(INDEX(Pacientes!$Q:$Q, MATCH("Perdido|1", Pacientes!$U:$U, 0)), "")</f>
        <v>Sem orçamento no momento</v>
      </c>
      <c r="V3" s="22" t="str">
        <f aca="false" t="array" ref="V3:V3">IFERROR(INDEX(Pacientes!$A:$A, MATCH("Pendente|1", Pacientes!$U:$U, 0)), "")</f>
        <v>Esther Andrade dos Santos</v>
      </c>
      <c r="W3" s="22" t="str">
        <f aca="false" t="array" ref="W3:W3">IFERROR(INDEX(Pacientes!$S:$S, MATCH("Pendente|1", Pacientes!$U:$U, 0)), "")</f>
        <v>Quer preparar a filha para o aparelho fixo (hyrax e grade) / Chamar em Dezembro</v>
      </c>
      <c r="Y3" s="22" t="str">
        <f aca="false" t="array" ref="Y3:Y3">IFERROR(INDEX(Pacientes!$A:$A, MATCH("Não Precisa no Momento|1", Pacientes!$U:$U, 0)), "")</f>
        <v/>
      </c>
      <c r="Z3" s="22" t="str">
        <f aca="false" t="array" ref="Z3:Z3">IFERROR(INDEX(Pacientes!$S:$S, MATCH("Não Precisa no Momento|1", Pacientes!$U:$U, 0)), "")</f>
        <v/>
      </c>
    </row>
    <row r="4" customFormat="false" ht="15" hidden="false" customHeight="true" outlineLevel="0" collapsed="false">
      <c r="A4" s="22" t="str">
        <f aca="false" t="array" ref="A4:A4">IFERROR(INDEX(Pacientes!$A:$A, MATCH("Novo Paciente|2", Pacientes!$U:$U, 0)), "")</f>
        <v>Paulo Maulais</v>
      </c>
      <c r="B4" s="23" t="n">
        <f aca="false" t="array" ref="B4:B4">IFERROR(INDEX(Pacientes!$G:$G, MATCH("Novo Paciente|2", Pacientes!$U:$U, 0)), "")</f>
        <v>46258</v>
      </c>
      <c r="D4" s="22" t="str">
        <f aca="false" t="array" ref="D4:D4">IFERROR(INDEX(Pacientes!$A:$A, MATCH("Consulta Marcada|2", Pacientes!$U:$U, 0)), "")</f>
        <v/>
      </c>
      <c r="E4" s="23" t="str">
        <f aca="false" t="array" ref="E4:E4">IFERROR(INDEX(Pacientes!$I:$I, MATCH("Consulta Marcada|2", Pacientes!$U:$U, 0)), "")</f>
        <v/>
      </c>
      <c r="G4" s="22" t="str">
        <f aca="false" t="array" ref="G4:G4">IFERROR(INDEX(Pacientes!$A:$A, MATCH("Não Compareceu|2", Pacientes!$U:$U, 0)), "")</f>
        <v/>
      </c>
      <c r="H4" s="23" t="str">
        <f aca="false" t="array" ref="H4:H4">IFERROR(INDEX(Pacientes!$I:$I, MATCH("Não Compareceu|2", Pacientes!$U:$U, 0)), "")</f>
        <v/>
      </c>
      <c r="J4" s="22" t="str">
        <f aca="false" t="array" ref="J4:J4">IFERROR(INDEX(Pacientes!$A:$A, MATCH("Compareceu|2", Pacientes!$U:$U, 0)), "")</f>
        <v>Joaquim Manduca Campos</v>
      </c>
      <c r="K4" s="22" t="str">
        <f aca="false" t="array" ref="K4:K4">IFERROR(INDEX(Pacientes!$K:$K, MATCH("Compareceu|2", Pacientes!$U:$U, 0)), "")</f>
        <v>Não</v>
      </c>
      <c r="M4" s="22" t="str">
        <f aca="false" t="array" ref="M4:M4">IFERROR(INDEX(Pacientes!$A:$A, MATCH("Plano de Tratamento|2", Pacientes!$U:$U, 0)), "")</f>
        <v/>
      </c>
      <c r="N4" s="24" t="str">
        <f aca="false" t="array" ref="N4:N4">IFERROR(INDEX(Pacientes!$M:$M, MATCH("Plano de Tratamento|2", Pacientes!$U:$U, 0)), "")</f>
        <v/>
      </c>
      <c r="P4" s="22" t="str">
        <f aca="false" t="array" ref="P4:P4">IFERROR(INDEX(Pacientes!$A:$A, MATCH("Fechado|2", Pacientes!$X:$X, 0)), "")</f>
        <v>Fernanda Bueno Teixeira Costa</v>
      </c>
      <c r="Q4" s="24" t="n">
        <f aca="false" t="array" ref="Q4:Q4">IFERROR(INDEX(Pacientes!$O:$O, MATCH("Fechado|2", Pacientes!$X:$X, 0)), "")</f>
        <v>11400</v>
      </c>
      <c r="S4" s="22" t="str">
        <f aca="false" t="array" ref="S4:S4">IFERROR(INDEX(Pacientes!$A:$A, MATCH("Perdido|2", Pacientes!$U:$U, 0)), "")</f>
        <v>Hiltonn Muniz Cordeiro</v>
      </c>
      <c r="T4" s="22" t="str">
        <f aca="false" t="array" ref="T4:T4">IFERROR(INDEX(Pacientes!$Q:$Q, MATCH("Perdido|2", Pacientes!$U:$U, 0)), "")</f>
        <v>Sem orçamento no momento</v>
      </c>
      <c r="V4" s="22" t="str">
        <f aca="false" t="array" ref="V4:V4">IFERROR(INDEX(Pacientes!$A:$A, MATCH("Pendente|2", Pacientes!$U:$U, 0)), "")</f>
        <v>Felipe da Cunha Pereira Rocha Lacerda</v>
      </c>
      <c r="W4" s="22" t="n">
        <f aca="false">IFERROR(INDEX(Pacientes!$S:$S, MATCH("Pendente|2", Pacientes!$U:$U, 0)), "")</f>
        <v>0</v>
      </c>
      <c r="Y4" s="22" t="str">
        <f aca="false" t="array" ref="Y4:Y4">IFERROR(INDEX(Pacientes!$A:$A, MATCH("Não Precisa no Momento|2", Pacientes!$U:$U, 0)), "")</f>
        <v/>
      </c>
      <c r="Z4" s="22" t="str">
        <f aca="false" t="array" ref="Z4:Z4">IFERROR(INDEX(Pacientes!$S:$S, MATCH("Não Precisa no Momento|2", Pacientes!$U:$U, 0)), "")</f>
        <v/>
      </c>
    </row>
    <row r="5" customFormat="false" ht="15" hidden="false" customHeight="true" outlineLevel="0" collapsed="false">
      <c r="A5" s="22" t="str">
        <f aca="false" t="array" ref="A5:A5">IFERROR(INDEX(Pacientes!$A:$A, MATCH("Novo Paciente|3", Pacientes!$U:$U, 0)), "")</f>
        <v>Luisa Mundim (filhas) </v>
      </c>
      <c r="B5" s="23" t="n">
        <f aca="false" t="array" ref="B5:B5">IFERROR(INDEX(Pacientes!$G:$G, MATCH("Novo Paciente|3", Pacientes!$U:$U, 0)), "")</f>
        <v>46258</v>
      </c>
      <c r="D5" s="22" t="str">
        <f aca="false" t="array" ref="D5:D5">IFERROR(INDEX(Pacientes!$A:$A, MATCH("Consulta Marcada|3", Pacientes!$U:$U, 0)), "")</f>
        <v/>
      </c>
      <c r="E5" s="23" t="str">
        <f aca="false" t="array" ref="E5:E5">IFERROR(INDEX(Pacientes!$I:$I, MATCH("Consulta Marcada|3", Pacientes!$U:$U, 0)), "")</f>
        <v/>
      </c>
      <c r="G5" s="22" t="str">
        <f aca="false" t="array" ref="G5:G5">IFERROR(INDEX(Pacientes!$A:$A, MATCH("Não Compareceu|3", Pacientes!$U:$U, 0)), "")</f>
        <v/>
      </c>
      <c r="H5" s="23" t="str">
        <f aca="false" t="array" ref="H5:H5">IFERROR(INDEX(Pacientes!$I:$I, MATCH("Não Compareceu|3", Pacientes!$U:$U, 0)), "")</f>
        <v/>
      </c>
      <c r="J5" s="22" t="str">
        <f aca="false" t="array" ref="J5:J5">IFERROR(INDEX(Pacientes!$A:$A, MATCH("Compareceu|3", Pacientes!$U:$U, 0)), "")</f>
        <v>Maried Guimarães Manduca Campos</v>
      </c>
      <c r="K5" s="22" t="str">
        <f aca="false" t="array" ref="K5:K5">IFERROR(INDEX(Pacientes!$K:$K, MATCH("Compareceu|3", Pacientes!$U:$U, 0)), "")</f>
        <v>Não</v>
      </c>
      <c r="M5" s="22" t="str">
        <f aca="false" t="array" ref="M5:M5">IFERROR(INDEX(Pacientes!$A:$A, MATCH("Plano de Tratamento|3", Pacientes!$U:$U, 0)), "")</f>
        <v/>
      </c>
      <c r="N5" s="24" t="str">
        <f aca="false" t="array" ref="N5:N5">IFERROR(INDEX(Pacientes!$M:$M, MATCH("Plano de Tratamento|3", Pacientes!$U:$U, 0)), "")</f>
        <v/>
      </c>
      <c r="P5" s="22" t="str">
        <f aca="false" t="array" ref="P5:P5">IFERROR(INDEX(Pacientes!$A:$A, MATCH("Fechado|3", Pacientes!$X:$X, 0)), "")</f>
        <v>Guilherme Moraes</v>
      </c>
      <c r="Q5" s="24" t="n">
        <f aca="false" t="array" ref="Q5:Q5">IFERROR(INDEX(Pacientes!$O:$O, MATCH("Fechado|3", Pacientes!$X:$X, 0)), "")</f>
        <v>8567.86</v>
      </c>
      <c r="S5" s="22" t="str">
        <f aca="false" t="array" ref="S5:S5">IFERROR(INDEX(Pacientes!$A:$A, MATCH("Perdido|3", Pacientes!$U:$U, 0)), "")</f>
        <v> Estevão Nobre Carrato</v>
      </c>
      <c r="T5" s="22" t="str">
        <f aca="false" t="array" ref="T5:T5">IFERROR(INDEX(Pacientes!$Q:$Q, MATCH("Perdido|3", Pacientes!$U:$U, 0)), "")</f>
        <v>Sem orçamento no momento</v>
      </c>
      <c r="V5" s="22" t="str">
        <f aca="false" t="array" ref="V5:V5">IFERROR(INDEX(Pacientes!$A:$A, MATCH("Pendente|3", Pacientes!$U:$U, 0)), "")</f>
        <v>Fernando Ferreira Medeiros</v>
      </c>
      <c r="W5" s="22" t="str">
        <f aca="false" t="array" ref="W5:W5">IFERROR(INDEX(Pacientes!$S:$S, MATCH("Pendente|3", Pacientes!$U:$U, 0)), "")</f>
        <v>ainda não nos deu retorna a respeito</v>
      </c>
      <c r="Y5" s="22" t="str">
        <f aca="false" t="array" ref="Y5:Y5">IFERROR(INDEX(Pacientes!$A:$A, MATCH("Não Precisa no Momento|3", Pacientes!$U:$U, 0)), "")</f>
        <v/>
      </c>
      <c r="Z5" s="22" t="str">
        <f aca="false" t="array" ref="Z5:Z5">IFERROR(INDEX(Pacientes!$S:$S, MATCH("Não Precisa no Momento|3", Pacientes!$U:$U, 0)), "")</f>
        <v/>
      </c>
    </row>
    <row r="6" customFormat="false" ht="15" hidden="false" customHeight="true" outlineLevel="0" collapsed="false">
      <c r="A6" s="22" t="str">
        <f aca="false" t="array" ref="A6:A6">IFERROR(INDEX(Pacientes!$A:$A, MATCH("Novo Paciente|4", Pacientes!$U:$U, 0)), "")</f>
        <v>Raquel Rabelo (filhas)</v>
      </c>
      <c r="B6" s="23" t="n">
        <f aca="false">IFERROR(INDEX(Pacientes!$G:$G, MATCH("Novo Paciente|4", Pacientes!$U:$U, 0)), "")</f>
        <v>0</v>
      </c>
      <c r="D6" s="22" t="str">
        <f aca="false" t="array" ref="D6:D6">IFERROR(INDEX(Pacientes!$A:$A, MATCH("Consulta Marcada|4", Pacientes!$U:$U, 0)), "")</f>
        <v/>
      </c>
      <c r="E6" s="23" t="str">
        <f aca="false" t="array" ref="E6:E6">IFERROR(INDEX(Pacientes!$I:$I, MATCH("Consulta Marcada|4", Pacientes!$U:$U, 0)), "")</f>
        <v/>
      </c>
      <c r="G6" s="22" t="str">
        <f aca="false" t="array" ref="G6:G6">IFERROR(INDEX(Pacientes!$A:$A, MATCH("Não Compareceu|4", Pacientes!$U:$U, 0)), "")</f>
        <v/>
      </c>
      <c r="H6" s="23" t="str">
        <f aca="false" t="array" ref="H6:H6">IFERROR(INDEX(Pacientes!$I:$I, MATCH("Não Compareceu|4", Pacientes!$U:$U, 0)), "")</f>
        <v/>
      </c>
      <c r="J6" s="22" t="str">
        <f aca="false">IFERROR(INDEX(Pacientes!$A:$A, MATCH("Compareceu|4", Pacientes!$U:$U, 0)), "")</f>
        <v>Jamiria Aparecida Vieira Reis</v>
      </c>
      <c r="K6" s="22" t="str">
        <f aca="false" t="array" ref="K6:K6">IFERROR(INDEX(Pacientes!$K:$K, MATCH("Compareceu|4", Pacientes!$U:$U, 0)), "")</f>
        <v>Não</v>
      </c>
      <c r="M6" s="22" t="str">
        <f aca="false" t="array" ref="M6:M6">IFERROR(INDEX(Pacientes!$A:$A, MATCH("Plano de Tratamento|4", Pacientes!$U:$U, 0)), "")</f>
        <v/>
      </c>
      <c r="N6" s="24" t="str">
        <f aca="false" t="array" ref="N6:N6">IFERROR(INDEX(Pacientes!$M:$M, MATCH("Plano de Tratamento|4", Pacientes!$U:$U, 0)), "")</f>
        <v/>
      </c>
      <c r="P6" s="22" t="str">
        <f aca="false" t="array" ref="P6:P6">IFERROR(INDEX(Pacientes!$A:$A, MATCH("Fechado|4", Pacientes!$X:$X, 0)), "")</f>
        <v>Bernardo Vieira Bersan El Bizri</v>
      </c>
      <c r="Q6" s="24" t="n">
        <f aca="false" t="array" ref="Q6:Q6">IFERROR(INDEX(Pacientes!$O:$O, MATCH("Fechado|4", Pacientes!$X:$X, 0)), "")</f>
        <v>3433.17</v>
      </c>
      <c r="S6" s="22" t="str">
        <f aca="false" t="array" ref="S6:S6">IFERROR(INDEX(Pacientes!$A:$A, MATCH("Perdido|4", Pacientes!$U:$U, 0)), "")</f>
        <v>Felipe Ribeiro Tostes de Menezes</v>
      </c>
      <c r="T6" s="22" t="n">
        <f aca="false">IFERROR(INDEX(Pacientes!$Q:$Q, MATCH("Perdido|4", Pacientes!$U:$U, 0)), "")</f>
        <v>0</v>
      </c>
      <c r="V6" s="22" t="str">
        <f aca="false" t="array" ref="V6:V6">IFERROR(INDEX(Pacientes!$A:$A, MATCH("Pendente|4", Pacientes!$U:$U, 0)), "")</f>
        <v>Serena Catão de Miranda</v>
      </c>
      <c r="W6" s="22" t="n">
        <f aca="false">IFERROR(INDEX(Pacientes!$S:$S, MATCH("Pendente|4", Pacientes!$U:$U, 0)), "")</f>
        <v>0</v>
      </c>
      <c r="Y6" s="22" t="str">
        <f aca="false" t="array" ref="Y6:Y6">IFERROR(INDEX(Pacientes!$A:$A, MATCH("Não Precisa no Momento|4", Pacientes!$U:$U, 0)), "")</f>
        <v/>
      </c>
      <c r="Z6" s="22" t="str">
        <f aca="false" t="array" ref="Z6:Z6">IFERROR(INDEX(Pacientes!$S:$S, MATCH("Não Precisa no Momento|4", Pacientes!$U:$U, 0)), "")</f>
        <v/>
      </c>
    </row>
    <row r="7" customFormat="false" ht="15" hidden="false" customHeight="true" outlineLevel="0" collapsed="false">
      <c r="A7" s="22" t="str">
        <f aca="false" t="array" ref="A7:A7">IFERROR(INDEX(Pacientes!$A:$A, MATCH("Novo Paciente|5", Pacientes!$U:$U, 0)), "")</f>
        <v/>
      </c>
      <c r="B7" s="23" t="str">
        <f aca="false" t="array" ref="B7:B7">IFERROR(INDEX(Pacientes!$G:$G, MATCH("Novo Paciente|5", Pacientes!$U:$U, 0)), "")</f>
        <v/>
      </c>
      <c r="D7" s="22" t="str">
        <f aca="false" t="array" ref="D7:D7">IFERROR(INDEX(Pacientes!$A:$A, MATCH("Consulta Marcada|5", Pacientes!$U:$U, 0)), "")</f>
        <v/>
      </c>
      <c r="E7" s="23" t="str">
        <f aca="false" t="array" ref="E7:E7">IFERROR(INDEX(Pacientes!$I:$I, MATCH("Consulta Marcada|5", Pacientes!$U:$U, 0)), "")</f>
        <v/>
      </c>
      <c r="G7" s="22" t="str">
        <f aca="false" t="array" ref="G7:G7">IFERROR(INDEX(Pacientes!$A:$A, MATCH("Não Compareceu|5", Pacientes!$U:$U, 0)), "")</f>
        <v/>
      </c>
      <c r="H7" s="23" t="str">
        <f aca="false" t="array" ref="H7:H7">IFERROR(INDEX(Pacientes!$I:$I, MATCH("Não Compareceu|5", Pacientes!$U:$U, 0)), "")</f>
        <v/>
      </c>
      <c r="J7" s="22" t="str">
        <f aca="false">IFERROR(INDEX(Pacientes!$A:$A, MATCH("Compareceu|5", Pacientes!$U:$U, 0)), "")</f>
        <v>Stella Amorim Dornas</v>
      </c>
      <c r="K7" s="22" t="str">
        <f aca="false" t="array" ref="K7:K7">IFERROR(INDEX(Pacientes!$K:$K, MATCH("Compareceu|5", Pacientes!$U:$U, 0)), "")</f>
        <v>Sim</v>
      </c>
      <c r="M7" s="22" t="str">
        <f aca="false" t="array" ref="M7:M7">IFERROR(INDEX(Pacientes!$A:$A, MATCH("Plano de Tratamento|5", Pacientes!$U:$U, 0)), "")</f>
        <v/>
      </c>
      <c r="N7" s="24" t="str">
        <f aca="false" t="array" ref="N7:N7">IFERROR(INDEX(Pacientes!$M:$M, MATCH("Plano de Tratamento|5", Pacientes!$U:$U, 0)), "")</f>
        <v/>
      </c>
      <c r="P7" s="22" t="str">
        <f aca="false" t="array" ref="P7:P7">IFERROR(INDEX(Pacientes!$A:$A, MATCH("Fechado|5", Pacientes!$X:$X, 0)), "")</f>
        <v>Miguel Gonzalez Bidoia</v>
      </c>
      <c r="Q7" s="24" t="n">
        <f aca="false" t="array" ref="Q7:Q7">IFERROR(INDEX(Pacientes!$O:$O, MATCH("Fechado|5", Pacientes!$X:$X, 0)), "")</f>
        <v>6650</v>
      </c>
      <c r="S7" s="22" t="str">
        <f aca="false" t="array" ref="S7:S7">IFERROR(INDEX(Pacientes!$A:$A, MATCH("Perdido|5", Pacientes!$U:$U, 0)), "")</f>
        <v>Gabriela Ribeiro Tostes de Menezes </v>
      </c>
      <c r="T7" s="22" t="n">
        <f aca="false">IFERROR(INDEX(Pacientes!$Q:$Q, MATCH("Perdido|5", Pacientes!$U:$U, 0)), "")</f>
        <v>0</v>
      </c>
      <c r="V7" s="22" t="str">
        <f aca="false" t="array" ref="V7:V7">IFERROR(INDEX(Pacientes!$A:$A, MATCH("Pendente|5", Pacientes!$U:$U, 0)), "")</f>
        <v>Kezia Cristina Teodoro dos Santos</v>
      </c>
      <c r="W7" s="22" t="n">
        <f aca="false">IFERROR(INDEX(Pacientes!$S:$S, MATCH("Pendente|5", Pacientes!$U:$U, 0)), "")</f>
        <v>0</v>
      </c>
      <c r="Y7" s="22" t="str">
        <f aca="false" t="array" ref="Y7:Y7">IFERROR(INDEX(Pacientes!$A:$A, MATCH("Não Precisa no Momento|5", Pacientes!$U:$U, 0)), "")</f>
        <v/>
      </c>
      <c r="Z7" s="22" t="str">
        <f aca="false" t="array" ref="Z7:Z7">IFERROR(INDEX(Pacientes!$S:$S, MATCH("Não Precisa no Momento|5", Pacientes!$U:$U, 0)), "")</f>
        <v/>
      </c>
    </row>
    <row r="8" customFormat="false" ht="15" hidden="false" customHeight="true" outlineLevel="0" collapsed="false">
      <c r="A8" s="22" t="str">
        <f aca="false" t="array" ref="A8:A8">IFERROR(INDEX(Pacientes!$A:$A, MATCH("Novo Paciente|6", Pacientes!$U:$U, 0)), "")</f>
        <v/>
      </c>
      <c r="B8" s="23" t="str">
        <f aca="false" t="array" ref="B8:B8">IFERROR(INDEX(Pacientes!$G:$G, MATCH("Novo Paciente|6", Pacientes!$U:$U, 0)), "")</f>
        <v/>
      </c>
      <c r="D8" s="22" t="str">
        <f aca="false" t="array" ref="D8:D8">IFERROR(INDEX(Pacientes!$A:$A, MATCH("Consulta Marcada|6", Pacientes!$U:$U, 0)), "")</f>
        <v/>
      </c>
      <c r="E8" s="23" t="str">
        <f aca="false" t="array" ref="E8:E8">IFERROR(INDEX(Pacientes!$I:$I, MATCH("Consulta Marcada|6", Pacientes!$U:$U, 0)), "")</f>
        <v/>
      </c>
      <c r="G8" s="22" t="str">
        <f aca="false" t="array" ref="G8:G8">IFERROR(INDEX(Pacientes!$A:$A, MATCH("Não Compareceu|6", Pacientes!$U:$U, 0)), "")</f>
        <v/>
      </c>
      <c r="H8" s="23" t="str">
        <f aca="false" t="array" ref="H8:H8">IFERROR(INDEX(Pacientes!$I:$I, MATCH("Não Compareceu|6", Pacientes!$U:$U, 0)), "")</f>
        <v/>
      </c>
      <c r="J8" s="22" t="str">
        <f aca="false">IFERROR(INDEX(Pacientes!$A:$A, MATCH("Compareceu|6", Pacientes!$U:$U, 0)), "")</f>
        <v>Felipe Terra Cunha</v>
      </c>
      <c r="K8" s="22" t="str">
        <f aca="false" t="array" ref="K8:K8">IFERROR(INDEX(Pacientes!$K:$K, MATCH("Compareceu|6", Pacientes!$U:$U, 0)), "")</f>
        <v>Sim</v>
      </c>
      <c r="M8" s="22" t="str">
        <f aca="false" t="array" ref="M8:M8">IFERROR(INDEX(Pacientes!$A:$A, MATCH("Plano de Tratamento|6", Pacientes!$U:$U, 0)), "")</f>
        <v/>
      </c>
      <c r="N8" s="24" t="str">
        <f aca="false" t="array" ref="N8:N8">IFERROR(INDEX(Pacientes!$M:$M, MATCH("Plano de Tratamento|6", Pacientes!$U:$U, 0)), "")</f>
        <v/>
      </c>
      <c r="P8" s="22" t="str">
        <f aca="false" t="array" ref="P8:P8">IFERROR(INDEX(Pacientes!$A:$A, MATCH("Fechado|6", Pacientes!$X:$X, 0)), "")</f>
        <v>Laura Gomes Souto Morato </v>
      </c>
      <c r="Q8" s="24" t="n">
        <f aca="false" t="array" ref="Q8:Q8">IFERROR(INDEX(Pacientes!$O:$O, MATCH("Fechado|6", Pacientes!$X:$X, 0)), "")</f>
        <v>15800</v>
      </c>
      <c r="S8" s="22" t="str">
        <f aca="false" t="array" ref="S8:S8">IFERROR(INDEX(Pacientes!$A:$A, MATCH("Perdido|6", Pacientes!$U:$U, 0)), "")</f>
        <v>Ana Cláudia Ribeiro Marzinetti Dias</v>
      </c>
      <c r="T8" s="22" t="n">
        <f aca="false">IFERROR(INDEX(Pacientes!$Q:$Q, MATCH("Perdido|6", Pacientes!$U:$U, 0)), "")</f>
        <v>0</v>
      </c>
      <c r="V8" s="22" t="str">
        <f aca="false" t="array" ref="V8:V8">IFERROR(INDEX(Pacientes!$A:$A, MATCH("Pendente|6", Pacientes!$U:$U, 0)), "")</f>
        <v>Eduardo Lamaita Figueiredo</v>
      </c>
      <c r="W8" s="22" t="n">
        <f aca="false">IFERROR(INDEX(Pacientes!$S:$S, MATCH("Pendente|6", Pacientes!$U:$U, 0)), "")</f>
        <v>0</v>
      </c>
      <c r="Y8" s="22" t="str">
        <f aca="false" t="array" ref="Y8:Y8">IFERROR(INDEX(Pacientes!$A:$A, MATCH("Não Precisa no Momento|6", Pacientes!$U:$U, 0)), "")</f>
        <v/>
      </c>
      <c r="Z8" s="22" t="str">
        <f aca="false" t="array" ref="Z8:Z8">IFERROR(INDEX(Pacientes!$S:$S, MATCH("Não Precisa no Momento|6", Pacientes!$U:$U, 0)), "")</f>
        <v/>
      </c>
    </row>
    <row r="9" customFormat="false" ht="15" hidden="false" customHeight="true" outlineLevel="0" collapsed="false">
      <c r="A9" s="22" t="str">
        <f aca="false" t="array" ref="A9:A9">IFERROR(INDEX(Pacientes!$A:$A, MATCH("Novo Paciente|7", Pacientes!$U:$U, 0)), "")</f>
        <v/>
      </c>
      <c r="B9" s="23" t="str">
        <f aca="false" t="array" ref="B9:B9">IFERROR(INDEX(Pacientes!$G:$G, MATCH("Novo Paciente|7", Pacientes!$U:$U, 0)), "")</f>
        <v/>
      </c>
      <c r="D9" s="22" t="str">
        <f aca="false" t="array" ref="D9:D9">IFERROR(INDEX(Pacientes!$A:$A, MATCH("Consulta Marcada|7", Pacientes!$U:$U, 0)), "")</f>
        <v/>
      </c>
      <c r="E9" s="23" t="str">
        <f aca="false" t="array" ref="E9:E9">IFERROR(INDEX(Pacientes!$I:$I, MATCH("Consulta Marcada|7", Pacientes!$U:$U, 0)), "")</f>
        <v/>
      </c>
      <c r="G9" s="22" t="str">
        <f aca="false" t="array" ref="G9:G9">IFERROR(INDEX(Pacientes!$A:$A, MATCH("Não Compareceu|7", Pacientes!$U:$U, 0)), "")</f>
        <v/>
      </c>
      <c r="H9" s="23" t="str">
        <f aca="false" t="array" ref="H9:H9">IFERROR(INDEX(Pacientes!$I:$I, MATCH("Não Compareceu|7", Pacientes!$U:$U, 0)), "")</f>
        <v/>
      </c>
      <c r="J9" s="22" t="str">
        <f aca="false" t="array" ref="J9:J9">IFERROR(INDEX(Pacientes!$A:$A, MATCH("Compareceu|7", Pacientes!$U:$U, 0)), "")</f>
        <v>Enzo Barros Diniz</v>
      </c>
      <c r="K9" s="22" t="str">
        <f aca="false" t="array" ref="K9:K9">IFERROR(INDEX(Pacientes!$K:$K, MATCH("Compareceu|7", Pacientes!$U:$U, 0)), "")</f>
        <v>Não</v>
      </c>
      <c r="M9" s="22" t="str">
        <f aca="false" t="array" ref="M9:M9">IFERROR(INDEX(Pacientes!$A:$A, MATCH("Plano de Tratamento|7", Pacientes!$U:$U, 0)), "")</f>
        <v/>
      </c>
      <c r="N9" s="24" t="str">
        <f aca="false" t="array" ref="N9:N9">IFERROR(INDEX(Pacientes!$M:$M, MATCH("Plano de Tratamento|7", Pacientes!$U:$U, 0)), "")</f>
        <v/>
      </c>
      <c r="P9" s="22" t="str">
        <f aca="false" t="array" ref="P9:P9">IFERROR(INDEX(Pacientes!$A:$A, MATCH("Fechado|7", Pacientes!$X:$X, 0)), "")</f>
        <v>Miguel Oliveira Souza</v>
      </c>
      <c r="Q9" s="24" t="n">
        <f aca="false">IFERROR(INDEX(Pacientes!$O:$O, MATCH("Fechado|7", Pacientes!$X:$X, 0)), "")</f>
        <v>1941</v>
      </c>
      <c r="S9" s="22" t="str">
        <f aca="false" t="array" ref="S9:S9">IFERROR(INDEX(Pacientes!$A:$A, MATCH("Perdido|7", Pacientes!$U:$U, 0)), "")</f>
        <v>João Gabriel Pinto Coelho Barbosa </v>
      </c>
      <c r="T9" s="22" t="n">
        <f aca="false">IFERROR(INDEX(Pacientes!$Q:$Q, MATCH("Perdido|7", Pacientes!$U:$U, 0)), "")</f>
        <v>0</v>
      </c>
      <c r="V9" s="22" t="str">
        <f aca="false" t="array" ref="V9:V9">IFERROR(INDEX(Pacientes!$A:$A, MATCH("Pendente|7", Pacientes!$U:$U, 0)), "")</f>
        <v>Flavia Mendonça Pinheiro de Melo</v>
      </c>
      <c r="W9" s="22" t="n">
        <f aca="false">IFERROR(INDEX(Pacientes!$S:$S, MATCH("Pendente|7", Pacientes!$U:$U, 0)), "")</f>
        <v>0</v>
      </c>
      <c r="Y9" s="22" t="str">
        <f aca="false" t="array" ref="Y9:Y9">IFERROR(INDEX(Pacientes!$A:$A, MATCH("Não Precisa no Momento|7", Pacientes!$U:$U, 0)), "")</f>
        <v/>
      </c>
      <c r="Z9" s="22" t="str">
        <f aca="false" t="array" ref="Z9:Z9">IFERROR(INDEX(Pacientes!$S:$S, MATCH("Não Precisa no Momento|7", Pacientes!$U:$U, 0)), "")</f>
        <v/>
      </c>
    </row>
    <row r="10" customFormat="false" ht="15" hidden="false" customHeight="true" outlineLevel="0" collapsed="false">
      <c r="A10" s="22" t="str">
        <f aca="false" t="array" ref="A10:A10">IFERROR(INDEX(Pacientes!$A:$A, MATCH("Novo Paciente|8", Pacientes!$U:$U, 0)), "")</f>
        <v/>
      </c>
      <c r="B10" s="23" t="str">
        <f aca="false" t="array" ref="B10:B10">IFERROR(INDEX(Pacientes!$G:$G, MATCH("Novo Paciente|8", Pacientes!$U:$U, 0)), "")</f>
        <v/>
      </c>
      <c r="D10" s="22" t="str">
        <f aca="false" t="array" ref="D10:D10">IFERROR(INDEX(Pacientes!$A:$A, MATCH("Consulta Marcada|8", Pacientes!$U:$U, 0)), "")</f>
        <v/>
      </c>
      <c r="E10" s="23" t="str">
        <f aca="false" t="array" ref="E10:E10">IFERROR(INDEX(Pacientes!$I:$I, MATCH("Consulta Marcada|8", Pacientes!$U:$U, 0)), "")</f>
        <v/>
      </c>
      <c r="G10" s="22" t="str">
        <f aca="false" t="array" ref="G10:G10">IFERROR(INDEX(Pacientes!$A:$A, MATCH("Não Compareceu|8", Pacientes!$U:$U, 0)), "")</f>
        <v/>
      </c>
      <c r="H10" s="23" t="str">
        <f aca="false" t="array" ref="H10:H10">IFERROR(INDEX(Pacientes!$I:$I, MATCH("Não Compareceu|8", Pacientes!$U:$U, 0)), "")</f>
        <v/>
      </c>
      <c r="J10" s="22" t="str">
        <f aca="false" t="array" ref="J10:J10">IFERROR(INDEX(Pacientes!$A:$A, MATCH("Compareceu|8", Pacientes!$U:$U, 0)), "")</f>
        <v>Aline Fernanda de Lima Costa</v>
      </c>
      <c r="K10" s="22" t="n">
        <f aca="false">IFERROR(INDEX(Pacientes!$K:$K, MATCH("Compareceu|8", Pacientes!$U:$U, 0)), "")</f>
        <v>0</v>
      </c>
      <c r="M10" s="22" t="str">
        <f aca="false" t="array" ref="M10:M10">IFERROR(INDEX(Pacientes!$A:$A, MATCH("Plano de Tratamento|8", Pacientes!$U:$U, 0)), "")</f>
        <v/>
      </c>
      <c r="N10" s="24" t="str">
        <f aca="false" t="array" ref="N10:N10">IFERROR(INDEX(Pacientes!$M:$M, MATCH("Plano de Tratamento|8", Pacientes!$U:$U, 0)), "")</f>
        <v/>
      </c>
      <c r="P10" s="22" t="str">
        <f aca="false" t="array" ref="P10:P10">IFERROR(INDEX(Pacientes!$A:$A, MATCH("Fechado|8", Pacientes!$X:$X, 0)), "")</f>
        <v>Lavinia Ferreira de La Fuente</v>
      </c>
      <c r="Q10" s="24" t="n">
        <f aca="false" t="array" ref="Q10:Q10">IFERROR(INDEX(Pacientes!$O:$O, MATCH("Fechado|8", Pacientes!$X:$X, 0)), "")</f>
        <v>0</v>
      </c>
      <c r="S10" s="22" t="str">
        <f aca="false" t="array" ref="S10:S10">IFERROR(INDEX(Pacientes!$A:$A, MATCH("Perdido|8", Pacientes!$U:$U, 0)), "")</f>
        <v>Maria Carolina Silva Dornelas</v>
      </c>
      <c r="T10" s="22" t="n">
        <f aca="false">IFERROR(INDEX(Pacientes!$Q:$Q, MATCH("Perdido|8", Pacientes!$U:$U, 0)), "")</f>
        <v>0</v>
      </c>
      <c r="V10" s="22" t="str">
        <f aca="false" t="array" ref="V10:V10">IFERROR(INDEX(Pacientes!$A:$A, MATCH("Pendente|8", Pacientes!$U:$U, 0)), "")</f>
        <v>Helena Barcelos Avelar</v>
      </c>
      <c r="W10" s="22" t="n">
        <f aca="false">IFERROR(INDEX(Pacientes!$S:$S, MATCH("Pendente|8", Pacientes!$U:$U, 0)), "")</f>
        <v>0</v>
      </c>
      <c r="Y10" s="22" t="str">
        <f aca="false" t="array" ref="Y10:Y10">IFERROR(INDEX(Pacientes!$A:$A, MATCH("Não Precisa no Momento|8", Pacientes!$U:$U, 0)), "")</f>
        <v/>
      </c>
      <c r="Z10" s="22" t="str">
        <f aca="false" t="array" ref="Z10:Z10">IFERROR(INDEX(Pacientes!$S:$S, MATCH("Não Precisa no Momento|8", Pacientes!$U:$U, 0)), "")</f>
        <v/>
      </c>
    </row>
    <row r="11" customFormat="false" ht="15" hidden="false" customHeight="true" outlineLevel="0" collapsed="false">
      <c r="A11" s="22" t="str">
        <f aca="false" t="array" ref="A11:A11">IFERROR(INDEX(Pacientes!$A:$A, MATCH("Novo Paciente|9", Pacientes!$U:$U, 0)), "")</f>
        <v/>
      </c>
      <c r="B11" s="23" t="str">
        <f aca="false" t="array" ref="B11:B11">IFERROR(INDEX(Pacientes!$G:$G, MATCH("Novo Paciente|9", Pacientes!$U:$U, 0)), "")</f>
        <v/>
      </c>
      <c r="D11" s="22" t="str">
        <f aca="false" t="array" ref="D11:D11">IFERROR(INDEX(Pacientes!$A:$A, MATCH("Consulta Marcada|9", Pacientes!$U:$U, 0)), "")</f>
        <v/>
      </c>
      <c r="E11" s="23" t="str">
        <f aca="false" t="array" ref="E11:E11">IFERROR(INDEX(Pacientes!$I:$I, MATCH("Consulta Marcada|9", Pacientes!$U:$U, 0)), "")</f>
        <v/>
      </c>
      <c r="G11" s="22" t="str">
        <f aca="false" t="array" ref="G11:G11">IFERROR(INDEX(Pacientes!$A:$A, MATCH("Não Compareceu|9", Pacientes!$U:$U, 0)), "")</f>
        <v/>
      </c>
      <c r="H11" s="23" t="str">
        <f aca="false" t="array" ref="H11:H11">IFERROR(INDEX(Pacientes!$I:$I, MATCH("Não Compareceu|9", Pacientes!$U:$U, 0)), "")</f>
        <v/>
      </c>
      <c r="J11" s="22" t="str">
        <f aca="false" t="array" ref="J11:J11">IFERROR(INDEX(Pacientes!$A:$A, MATCH("Compareceu|9", Pacientes!$U:$U, 0)), "")</f>
        <v>Andrea Cristina Guerra da Silva</v>
      </c>
      <c r="K11" s="22" t="str">
        <f aca="false" t="array" ref="K11:K11">IFERROR(INDEX(Pacientes!$K:$K, MATCH("Compareceu|9", Pacientes!$U:$U, 0)), "")</f>
        <v>Sim</v>
      </c>
      <c r="M11" s="22" t="str">
        <f aca="false" t="array" ref="M11:M11">IFERROR(INDEX(Pacientes!$A:$A, MATCH("Plano de Tratamento|9", Pacientes!$U:$U, 0)), "")</f>
        <v/>
      </c>
      <c r="N11" s="24" t="str">
        <f aca="false" t="array" ref="N11:N11">IFERROR(INDEX(Pacientes!$M:$M, MATCH("Plano de Tratamento|9", Pacientes!$U:$U, 0)), "")</f>
        <v/>
      </c>
      <c r="P11" s="22" t="str">
        <f aca="false" t="array" ref="P11:P11">IFERROR(INDEX(Pacientes!$A:$A, MATCH("Fechado|9", Pacientes!$X:$X, 0)), "")</f>
        <v>Vitor Mesquita Carlos Gomes </v>
      </c>
      <c r="Q11" s="24" t="n">
        <f aca="false" t="array" ref="Q11:Q11">IFERROR(INDEX(Pacientes!$O:$O, MATCH("Fechado|9", Pacientes!$X:$X, 0)), "")</f>
        <v>5383</v>
      </c>
      <c r="S11" s="22" t="str">
        <f aca="false" t="array" ref="S11:S11">IFERROR(INDEX(Pacientes!$A:$A, MATCH("Perdido|9", Pacientes!$U:$U, 0)), "")</f>
        <v/>
      </c>
      <c r="T11" s="22" t="str">
        <f aca="false" t="array" ref="T11:T11">IFERROR(INDEX(Pacientes!$Q:$Q, MATCH("Perdido|9", Pacientes!$U:$U, 0)), "")</f>
        <v/>
      </c>
      <c r="V11" s="22" t="str">
        <f aca="false" t="array" ref="V11:V11">IFERROR(INDEX(Pacientes!$A:$A, MATCH("Pendente|9", Pacientes!$U:$U, 0)), "")</f>
        <v>Laura Arruda dos Santos </v>
      </c>
      <c r="W11" s="22" t="n">
        <f aca="false">IFERROR(INDEX(Pacientes!$S:$S, MATCH("Pendente|9", Pacientes!$U:$U, 0)), "")</f>
        <v>0</v>
      </c>
      <c r="Y11" s="22" t="str">
        <f aca="false" t="array" ref="Y11:Y11">IFERROR(INDEX(Pacientes!$A:$A, MATCH("Não Precisa no Momento|9", Pacientes!$U:$U, 0)), "")</f>
        <v/>
      </c>
      <c r="Z11" s="22" t="str">
        <f aca="false" t="array" ref="Z11:Z11">IFERROR(INDEX(Pacientes!$S:$S, MATCH("Não Precisa no Momento|9", Pacientes!$U:$U, 0)), "")</f>
        <v/>
      </c>
    </row>
    <row r="12" customFormat="false" ht="15" hidden="false" customHeight="true" outlineLevel="0" collapsed="false">
      <c r="A12" s="22" t="str">
        <f aca="false" t="array" ref="A12:A12">IFERROR(INDEX(Pacientes!$A:$A, MATCH("Novo Paciente|10", Pacientes!$U:$U, 0)), "")</f>
        <v/>
      </c>
      <c r="B12" s="23" t="str">
        <f aca="false" t="array" ref="B12:B12">IFERROR(INDEX(Pacientes!$G:$G, MATCH("Novo Paciente|10", Pacientes!$U:$U, 0)), "")</f>
        <v/>
      </c>
      <c r="D12" s="22" t="str">
        <f aca="false" t="array" ref="D12:D12">IFERROR(INDEX(Pacientes!$A:$A, MATCH("Consulta Marcada|10", Pacientes!$U:$U, 0)), "")</f>
        <v/>
      </c>
      <c r="E12" s="23" t="str">
        <f aca="false" t="array" ref="E12:E12">IFERROR(INDEX(Pacientes!$I:$I, MATCH("Consulta Marcada|10", Pacientes!$U:$U, 0)), "")</f>
        <v/>
      </c>
      <c r="G12" s="22" t="str">
        <f aca="false" t="array" ref="G12:G12">IFERROR(INDEX(Pacientes!$A:$A, MATCH("Não Compareceu|10", Pacientes!$U:$U, 0)), "")</f>
        <v/>
      </c>
      <c r="H12" s="23" t="str">
        <f aca="false" t="array" ref="H12:H12">IFERROR(INDEX(Pacientes!$I:$I, MATCH("Não Compareceu|10", Pacientes!$U:$U, 0)), "")</f>
        <v/>
      </c>
      <c r="J12" s="22" t="str">
        <f aca="false" t="array" ref="J12:J12">IFERROR(INDEX(Pacientes!$A:$A, MATCH("Compareceu|10", Pacientes!$U:$U, 0)), "")</f>
        <v>Andre Sovoi Torres</v>
      </c>
      <c r="K12" s="22" t="str">
        <f aca="false" t="array" ref="K12:K12">IFERROR(INDEX(Pacientes!$K:$K, MATCH("Compareceu|10", Pacientes!$U:$U, 0)), "")</f>
        <v>Sim</v>
      </c>
      <c r="M12" s="22" t="str">
        <f aca="false" t="array" ref="M12:M12">IFERROR(INDEX(Pacientes!$A:$A, MATCH("Plano de Tratamento|10", Pacientes!$U:$U, 0)), "")</f>
        <v/>
      </c>
      <c r="N12" s="24" t="str">
        <f aca="false" t="array" ref="N12:N12">IFERROR(INDEX(Pacientes!$M:$M, MATCH("Plano de Tratamento|10", Pacientes!$U:$U, 0)), "")</f>
        <v/>
      </c>
      <c r="P12" s="22" t="str">
        <f aca="false" t="array" ref="P12:P12">IFERROR(INDEX(Pacientes!$A:$A, MATCH("Fechado|10", Pacientes!$X:$X, 0)), "")</f>
        <v>Monica Maria Alves Pereira</v>
      </c>
      <c r="Q12" s="24" t="n">
        <f aca="false" t="array" ref="Q12:Q12">IFERROR(INDEX(Pacientes!$O:$O, MATCH("Fechado|10", Pacientes!$X:$X, 0)), "")</f>
        <v>15800</v>
      </c>
      <c r="S12" s="22" t="str">
        <f aca="false" t="array" ref="S12:S12">IFERROR(INDEX(Pacientes!$A:$A, MATCH("Perdido|10", Pacientes!$U:$U, 0)), "")</f>
        <v/>
      </c>
      <c r="T12" s="22" t="str">
        <f aca="false" t="array" ref="T12:T12">IFERROR(INDEX(Pacientes!$Q:$Q, MATCH("Perdido|10", Pacientes!$U:$U, 0)), "")</f>
        <v/>
      </c>
      <c r="V12" s="22" t="str">
        <f aca="false" t="array" ref="V12:V12">IFERROR(INDEX(Pacientes!$A:$A, MATCH("Pendente|10", Pacientes!$U:$U, 0)), "")</f>
        <v>Bernardo Terra Cunha</v>
      </c>
      <c r="W12" s="22" t="n">
        <f aca="false">IFERROR(INDEX(Pacientes!$S:$S, MATCH("Pendente|10", Pacientes!$U:$U, 0)), "")</f>
        <v>0</v>
      </c>
      <c r="Y12" s="22" t="str">
        <f aca="false" t="array" ref="Y12:Y12">IFERROR(INDEX(Pacientes!$A:$A, MATCH("Não Precisa no Momento|10", Pacientes!$U:$U, 0)), "")</f>
        <v/>
      </c>
      <c r="Z12" s="22" t="str">
        <f aca="false" t="array" ref="Z12:Z12">IFERROR(INDEX(Pacientes!$S:$S, MATCH("Não Precisa no Momento|10", Pacientes!$U:$U, 0)), "")</f>
        <v/>
      </c>
    </row>
    <row r="13" customFormat="false" ht="15" hidden="false" customHeight="true" outlineLevel="0" collapsed="false">
      <c r="A13" s="22" t="str">
        <f aca="false" t="array" ref="A13:A13">IFERROR(INDEX(Pacientes!$A:$A, MATCH("Novo Paciente|11", Pacientes!$U:$U, 0)), "")</f>
        <v/>
      </c>
      <c r="B13" s="23" t="str">
        <f aca="false" t="array" ref="B13:B13">IFERROR(INDEX(Pacientes!$G:$G, MATCH("Novo Paciente|11", Pacientes!$U:$U, 0)), "")</f>
        <v/>
      </c>
      <c r="D13" s="22" t="str">
        <f aca="false" t="array" ref="D13:D13">IFERROR(INDEX(Pacientes!$A:$A, MATCH("Consulta Marcada|11", Pacientes!$U:$U, 0)), "")</f>
        <v/>
      </c>
      <c r="E13" s="23" t="str">
        <f aca="false" t="array" ref="E13:E13">IFERROR(INDEX(Pacientes!$I:$I, MATCH("Consulta Marcada|11", Pacientes!$U:$U, 0)), "")</f>
        <v/>
      </c>
      <c r="G13" s="22" t="str">
        <f aca="false" t="array" ref="G13:G13">IFERROR(INDEX(Pacientes!$A:$A, MATCH("Não Compareceu|11", Pacientes!$U:$U, 0)), "")</f>
        <v/>
      </c>
      <c r="H13" s="23" t="str">
        <f aca="false" t="array" ref="H13:H13">IFERROR(INDEX(Pacientes!$I:$I, MATCH("Não Compareceu|11", Pacientes!$U:$U, 0)), "")</f>
        <v/>
      </c>
      <c r="J13" s="22" t="str">
        <f aca="false" t="array" ref="J13:J13">IFERROR(INDEX(Pacientes!$A:$A, MATCH("Compareceu|11", Pacientes!$U:$U, 0)), "")</f>
        <v>Caio Norte Menezes</v>
      </c>
      <c r="K13" s="22" t="n">
        <f aca="false">IFERROR(INDEX(Pacientes!$K:$K, MATCH("Compareceu|11", Pacientes!$U:$U, 0)), "")</f>
        <v>0</v>
      </c>
      <c r="M13" s="22" t="str">
        <f aca="false" t="array" ref="M13:M13">IFERROR(INDEX(Pacientes!$A:$A, MATCH("Plano de Tratamento|11", Pacientes!$U:$U, 0)), "")</f>
        <v/>
      </c>
      <c r="N13" s="24" t="str">
        <f aca="false" t="array" ref="N13:N13">IFERROR(INDEX(Pacientes!$M:$M, MATCH("Plano de Tratamento|11", Pacientes!$U:$U, 0)), "")</f>
        <v/>
      </c>
      <c r="P13" s="22" t="str">
        <f aca="false" t="array" ref="P13:P13">IFERROR(INDEX(Pacientes!$A:$A, MATCH("Fechado|11", Pacientes!$X:$X, 0)), "")</f>
        <v>Camila de Almeida Teixeira Nominato</v>
      </c>
      <c r="Q13" s="24" t="n">
        <f aca="false" t="array" ref="Q13:Q13">IFERROR(INDEX(Pacientes!$O:$O, MATCH("Fechado|11", Pacientes!$X:$X, 0)), "")</f>
        <v>11743.35</v>
      </c>
      <c r="S13" s="22" t="str">
        <f aca="false" t="array" ref="S13:S13">IFERROR(INDEX(Pacientes!$A:$A, MATCH("Perdido|11", Pacientes!$U:$U, 0)), "")</f>
        <v/>
      </c>
      <c r="T13" s="22" t="str">
        <f aca="false" t="array" ref="T13:T13">IFERROR(INDEX(Pacientes!$Q:$Q, MATCH("Perdido|11", Pacientes!$U:$U, 0)), "")</f>
        <v/>
      </c>
      <c r="V13" s="22" t="str">
        <f aca="false" t="array" ref="V13:V13">IFERROR(INDEX(Pacientes!$A:$A, MATCH("Pendente|11", Pacientes!$U:$U, 0)), "")</f>
        <v>Joao Mesquita Vieira Marques</v>
      </c>
      <c r="W13" s="22" t="n">
        <f aca="false">IFERROR(INDEX(Pacientes!$S:$S, MATCH("Pendente|11", Pacientes!$U:$U, 0)), "")</f>
        <v>0</v>
      </c>
      <c r="Y13" s="22" t="str">
        <f aca="false" t="array" ref="Y13:Y13">IFERROR(INDEX(Pacientes!$A:$A, MATCH("Não Precisa no Momento|11", Pacientes!$U:$U, 0)), "")</f>
        <v/>
      </c>
      <c r="Z13" s="22" t="str">
        <f aca="false" t="array" ref="Z13:Z13">IFERROR(INDEX(Pacientes!$S:$S, MATCH("Não Precisa no Momento|11", Pacientes!$U:$U, 0)), "")</f>
        <v/>
      </c>
    </row>
    <row r="14" customFormat="false" ht="15" hidden="false" customHeight="true" outlineLevel="0" collapsed="false">
      <c r="A14" s="22" t="str">
        <f aca="false" t="array" ref="A14:A14">IFERROR(INDEX(Pacientes!$A:$A, MATCH("Novo Paciente|12", Pacientes!$U:$U, 0)), "")</f>
        <v/>
      </c>
      <c r="B14" s="23" t="str">
        <f aca="false" t="array" ref="B14:B14">IFERROR(INDEX(Pacientes!$G:$G, MATCH("Novo Paciente|12", Pacientes!$U:$U, 0)), "")</f>
        <v/>
      </c>
      <c r="D14" s="22" t="str">
        <f aca="false" t="array" ref="D14:D14">IFERROR(INDEX(Pacientes!$A:$A, MATCH("Consulta Marcada|12", Pacientes!$U:$U, 0)), "")</f>
        <v/>
      </c>
      <c r="E14" s="23" t="str">
        <f aca="false" t="array" ref="E14:E14">IFERROR(INDEX(Pacientes!$I:$I, MATCH("Consulta Marcada|12", Pacientes!$U:$U, 0)), "")</f>
        <v/>
      </c>
      <c r="G14" s="22" t="str">
        <f aca="false" t="array" ref="G14:G14">IFERROR(INDEX(Pacientes!$A:$A, MATCH("Não Compareceu|12", Pacientes!$U:$U, 0)), "")</f>
        <v/>
      </c>
      <c r="H14" s="23" t="str">
        <f aca="false" t="array" ref="H14:H14">IFERROR(INDEX(Pacientes!$I:$I, MATCH("Não Compareceu|12", Pacientes!$U:$U, 0)), "")</f>
        <v/>
      </c>
      <c r="J14" s="22" t="str">
        <f aca="false" t="array" ref="J14:J14">IFERROR(INDEX(Pacientes!$A:$A, MATCH("Compareceu|12", Pacientes!$U:$U, 0)), "")</f>
        <v/>
      </c>
      <c r="K14" s="22" t="str">
        <f aca="false" t="array" ref="K14:K14">IFERROR(INDEX(Pacientes!$K:$K, MATCH("Compareceu|12", Pacientes!$U:$U, 0)), "")</f>
        <v/>
      </c>
      <c r="M14" s="22" t="str">
        <f aca="false" t="array" ref="M14:M14">IFERROR(INDEX(Pacientes!$A:$A, MATCH("Plano de Tratamento|12", Pacientes!$U:$U, 0)), "")</f>
        <v/>
      </c>
      <c r="N14" s="24" t="str">
        <f aca="false" t="array" ref="N14:N14">IFERROR(INDEX(Pacientes!$M:$M, MATCH("Plano de Tratamento|12", Pacientes!$U:$U, 0)), "")</f>
        <v/>
      </c>
      <c r="P14" s="22" t="str">
        <f aca="false" t="array" ref="P14:P14">IFERROR(INDEX(Pacientes!$A:$A, MATCH("Fechado|12", Pacientes!$X:$X, 0)), "")</f>
        <v>Christiane Alves Esteves Diniz Guerra</v>
      </c>
      <c r="Q14" s="24" t="n">
        <f aca="false" t="array" ref="Q14:Q14">IFERROR(INDEX(Pacientes!$O:$O, MATCH("Fechado|12", Pacientes!$X:$X, 0)), "")</f>
        <v>10000</v>
      </c>
      <c r="S14" s="22" t="str">
        <f aca="false" t="array" ref="S14:S14">IFERROR(INDEX(Pacientes!$A:$A, MATCH("Perdido|12", Pacientes!$U:$U, 0)), "")</f>
        <v/>
      </c>
      <c r="T14" s="22" t="str">
        <f aca="false" t="array" ref="T14:T14">IFERROR(INDEX(Pacientes!$Q:$Q, MATCH("Perdido|12", Pacientes!$U:$U, 0)), "")</f>
        <v/>
      </c>
      <c r="V14" s="22" t="str">
        <f aca="false" t="array" ref="V14:V14">IFERROR(INDEX(Pacientes!$A:$A, MATCH("Pendente|12", Pacientes!$U:$U, 0)), "")</f>
        <v/>
      </c>
      <c r="W14" s="22" t="str">
        <f aca="false" t="array" ref="W14:W14">IFERROR(INDEX(Pacientes!$S:$S, MATCH("Pendente|12", Pacientes!$U:$U, 0)), "")</f>
        <v/>
      </c>
      <c r="Y14" s="22" t="str">
        <f aca="false" t="array" ref="Y14:Y14">IFERROR(INDEX(Pacientes!$A:$A, MATCH("Não Precisa no Momento|12", Pacientes!$U:$U, 0)), "")</f>
        <v/>
      </c>
      <c r="Z14" s="22" t="str">
        <f aca="false" t="array" ref="Z14:Z14">IFERROR(INDEX(Pacientes!$S:$S, MATCH("Não Precisa no Momento|12", Pacientes!$U:$U, 0)), "")</f>
        <v/>
      </c>
    </row>
    <row r="15" customFormat="false" ht="15" hidden="false" customHeight="true" outlineLevel="0" collapsed="false">
      <c r="A15" s="22" t="str">
        <f aca="false" t="array" ref="A15:A15">IFERROR(INDEX(Pacientes!$A:$A, MATCH("Novo Paciente|13", Pacientes!$U:$U, 0)), "")</f>
        <v/>
      </c>
      <c r="B15" s="23" t="str">
        <f aca="false" t="array" ref="B15:B15">IFERROR(INDEX(Pacientes!$G:$G, MATCH("Novo Paciente|13", Pacientes!$U:$U, 0)), "")</f>
        <v/>
      </c>
      <c r="D15" s="22" t="str">
        <f aca="false" t="array" ref="D15:D15">IFERROR(INDEX(Pacientes!$A:$A, MATCH("Consulta Marcada|13", Pacientes!$U:$U, 0)), "")</f>
        <v/>
      </c>
      <c r="E15" s="23" t="str">
        <f aca="false" t="array" ref="E15:E15">IFERROR(INDEX(Pacientes!$I:$I, MATCH("Consulta Marcada|13", Pacientes!$U:$U, 0)), "")</f>
        <v/>
      </c>
      <c r="G15" s="22" t="str">
        <f aca="false" t="array" ref="G15:G15">IFERROR(INDEX(Pacientes!$A:$A, MATCH("Não Compareceu|13", Pacientes!$U:$U, 0)), "")</f>
        <v/>
      </c>
      <c r="H15" s="23" t="str">
        <f aca="false" t="array" ref="H15:H15">IFERROR(INDEX(Pacientes!$I:$I, MATCH("Não Compareceu|13", Pacientes!$U:$U, 0)), "")</f>
        <v/>
      </c>
      <c r="J15" s="22" t="str">
        <f aca="false" t="array" ref="J15:J15">IFERROR(INDEX(Pacientes!$A:$A, MATCH("Compareceu|13", Pacientes!$U:$U, 0)), "")</f>
        <v/>
      </c>
      <c r="K15" s="22" t="str">
        <f aca="false" t="array" ref="K15:K15">IFERROR(INDEX(Pacientes!$K:$K, MATCH("Compareceu|13", Pacientes!$U:$U, 0)), "")</f>
        <v/>
      </c>
      <c r="M15" s="22" t="str">
        <f aca="false" t="array" ref="M15:M15">IFERROR(INDEX(Pacientes!$A:$A, MATCH("Plano de Tratamento|13", Pacientes!$U:$U, 0)), "")</f>
        <v/>
      </c>
      <c r="N15" s="24" t="str">
        <f aca="false" t="array" ref="N15:N15">IFERROR(INDEX(Pacientes!$M:$M, MATCH("Plano de Tratamento|13", Pacientes!$U:$U, 0)), "")</f>
        <v/>
      </c>
      <c r="P15" s="22" t="str">
        <f aca="false" t="array" ref="P15:P15">IFERROR(INDEX(Pacientes!$A:$A, MATCH("Fechado|13", Pacientes!$X:$X, 0)), "")</f>
        <v>Izabela Maia Resende</v>
      </c>
      <c r="Q15" s="24" t="n">
        <f aca="false" t="array" ref="Q15:Q15">IFERROR(INDEX(Pacientes!$O:$O, MATCH("Fechado|13", Pacientes!$X:$X, 0)), "")</f>
        <v>16200</v>
      </c>
      <c r="S15" s="22" t="str">
        <f aca="false" t="array" ref="S15:S15">IFERROR(INDEX(Pacientes!$A:$A, MATCH("Perdido|13", Pacientes!$U:$U, 0)), "")</f>
        <v/>
      </c>
      <c r="T15" s="22" t="str">
        <f aca="false" t="array" ref="T15:T15">IFERROR(INDEX(Pacientes!$Q:$Q, MATCH("Perdido|13", Pacientes!$U:$U, 0)), "")</f>
        <v/>
      </c>
      <c r="V15" s="22" t="str">
        <f aca="false" t="array" ref="V15:V15">IFERROR(INDEX(Pacientes!$A:$A, MATCH("Pendente|13", Pacientes!$U:$U, 0)), "")</f>
        <v/>
      </c>
      <c r="W15" s="22" t="str">
        <f aca="false" t="array" ref="W15:W15">IFERROR(INDEX(Pacientes!$S:$S, MATCH("Pendente|13", Pacientes!$U:$U, 0)), "")</f>
        <v/>
      </c>
      <c r="Y15" s="22" t="str">
        <f aca="false" t="array" ref="Y15:Y15">IFERROR(INDEX(Pacientes!$A:$A, MATCH("Não Precisa no Momento|13", Pacientes!$U:$U, 0)), "")</f>
        <v/>
      </c>
      <c r="Z15" s="22" t="str">
        <f aca="false" t="array" ref="Z15:Z15">IFERROR(INDEX(Pacientes!$S:$S, MATCH("Não Precisa no Momento|13", Pacientes!$U:$U, 0)), "")</f>
        <v/>
      </c>
    </row>
    <row r="16" customFormat="false" ht="15" hidden="false" customHeight="true" outlineLevel="0" collapsed="false">
      <c r="A16" s="22" t="str">
        <f aca="false" t="array" ref="A16:A16">IFERROR(INDEX(Pacientes!$A:$A, MATCH("Novo Paciente|14", Pacientes!$U:$U, 0)), "")</f>
        <v/>
      </c>
      <c r="B16" s="23" t="str">
        <f aca="false" t="array" ref="B16:B16">IFERROR(INDEX(Pacientes!$G:$G, MATCH("Novo Paciente|14", Pacientes!$U:$U, 0)), "")</f>
        <v/>
      </c>
      <c r="D16" s="22" t="str">
        <f aca="false" t="array" ref="D16:D16">IFERROR(INDEX(Pacientes!$A:$A, MATCH("Consulta Marcada|14", Pacientes!$U:$U, 0)), "")</f>
        <v/>
      </c>
      <c r="E16" s="23" t="str">
        <f aca="false" t="array" ref="E16:E16">IFERROR(INDEX(Pacientes!$I:$I, MATCH("Consulta Marcada|14", Pacientes!$U:$U, 0)), "")</f>
        <v/>
      </c>
      <c r="G16" s="22" t="str">
        <f aca="false" t="array" ref="G16:G16">IFERROR(INDEX(Pacientes!$A:$A, MATCH("Não Compareceu|14", Pacientes!$U:$U, 0)), "")</f>
        <v/>
      </c>
      <c r="H16" s="23" t="str">
        <f aca="false" t="array" ref="H16:H16">IFERROR(INDEX(Pacientes!$I:$I, MATCH("Não Compareceu|14", Pacientes!$U:$U, 0)), "")</f>
        <v/>
      </c>
      <c r="J16" s="22" t="str">
        <f aca="false" t="array" ref="J16:J16">IFERROR(INDEX(Pacientes!$A:$A, MATCH("Compareceu|14", Pacientes!$U:$U, 0)), "")</f>
        <v/>
      </c>
      <c r="K16" s="22" t="str">
        <f aca="false" t="array" ref="K16:K16">IFERROR(INDEX(Pacientes!$K:$K, MATCH("Compareceu|14", Pacientes!$U:$U, 0)), "")</f>
        <v/>
      </c>
      <c r="M16" s="22" t="str">
        <f aca="false" t="array" ref="M16:M16">IFERROR(INDEX(Pacientes!$A:$A, MATCH("Plano de Tratamento|14", Pacientes!$U:$U, 0)), "")</f>
        <v/>
      </c>
      <c r="N16" s="24" t="str">
        <f aca="false" t="array" ref="N16:N16">IFERROR(INDEX(Pacientes!$M:$M, MATCH("Plano de Tratamento|14", Pacientes!$U:$U, 0)), "")</f>
        <v/>
      </c>
      <c r="P16" s="22" t="str">
        <f aca="false" t="array" ref="P16:P16">IFERROR(INDEX(Pacientes!$A:$A, MATCH("Fechado|14", Pacientes!$X:$X, 0)), "")</f>
        <v>Otávio Rangel Ferreira</v>
      </c>
      <c r="Q16" s="24" t="n">
        <f aca="false" t="array" ref="Q16:Q16">IFERROR(INDEX(Pacientes!$O:$O, MATCH("Fechado|14", Pacientes!$X:$X, 0)), "")</f>
        <v>4000</v>
      </c>
      <c r="S16" s="22" t="str">
        <f aca="false" t="array" ref="S16:S16">IFERROR(INDEX(Pacientes!$A:$A, MATCH("Perdido|14", Pacientes!$U:$U, 0)), "")</f>
        <v/>
      </c>
      <c r="T16" s="22" t="str">
        <f aca="false" t="array" ref="T16:T16">IFERROR(INDEX(Pacientes!$Q:$Q, MATCH("Perdido|14", Pacientes!$U:$U, 0)), "")</f>
        <v/>
      </c>
      <c r="V16" s="22" t="str">
        <f aca="false" t="array" ref="V16:V16">IFERROR(INDEX(Pacientes!$A:$A, MATCH("Pendente|14", Pacientes!$U:$U, 0)), "")</f>
        <v/>
      </c>
      <c r="W16" s="22" t="str">
        <f aca="false" t="array" ref="W16:W16">IFERROR(INDEX(Pacientes!$S:$S, MATCH("Pendente|14", Pacientes!$U:$U, 0)), "")</f>
        <v/>
      </c>
      <c r="Y16" s="22" t="str">
        <f aca="false" t="array" ref="Y16:Y16">IFERROR(INDEX(Pacientes!$A:$A, MATCH("Não Precisa no Momento|14", Pacientes!$U:$U, 0)), "")</f>
        <v/>
      </c>
      <c r="Z16" s="22" t="str">
        <f aca="false" t="array" ref="Z16:Z16">IFERROR(INDEX(Pacientes!$S:$S, MATCH("Não Precisa no Momento|14", Pacientes!$U:$U, 0)), "")</f>
        <v/>
      </c>
    </row>
    <row r="17" customFormat="false" ht="15" hidden="false" customHeight="true" outlineLevel="0" collapsed="false">
      <c r="A17" s="22" t="str">
        <f aca="false" t="array" ref="A17:A17">IFERROR(INDEX(Pacientes!$A:$A, MATCH("Novo Paciente|15", Pacientes!$U:$U, 0)), "")</f>
        <v/>
      </c>
      <c r="B17" s="23" t="str">
        <f aca="false" t="array" ref="B17:B17">IFERROR(INDEX(Pacientes!$G:$G, MATCH("Novo Paciente|15", Pacientes!$U:$U, 0)), "")</f>
        <v/>
      </c>
      <c r="D17" s="22" t="str">
        <f aca="false" t="array" ref="D17:D17">IFERROR(INDEX(Pacientes!$A:$A, MATCH("Consulta Marcada|15", Pacientes!$U:$U, 0)), "")</f>
        <v/>
      </c>
      <c r="E17" s="23" t="str">
        <f aca="false" t="array" ref="E17:E17">IFERROR(INDEX(Pacientes!$I:$I, MATCH("Consulta Marcada|15", Pacientes!$U:$U, 0)), "")</f>
        <v/>
      </c>
      <c r="G17" s="22" t="str">
        <f aca="false" t="array" ref="G17:G17">IFERROR(INDEX(Pacientes!$A:$A, MATCH("Não Compareceu|15", Pacientes!$U:$U, 0)), "")</f>
        <v/>
      </c>
      <c r="H17" s="23" t="str">
        <f aca="false" t="array" ref="H17:H17">IFERROR(INDEX(Pacientes!$I:$I, MATCH("Não Compareceu|15", Pacientes!$U:$U, 0)), "")</f>
        <v/>
      </c>
      <c r="J17" s="22" t="str">
        <f aca="false" t="array" ref="J17:J17">IFERROR(INDEX(Pacientes!$A:$A, MATCH("Compareceu|15", Pacientes!$U:$U, 0)), "")</f>
        <v/>
      </c>
      <c r="K17" s="22" t="str">
        <f aca="false" t="array" ref="K17:K17">IFERROR(INDEX(Pacientes!$K:$K, MATCH("Compareceu|15", Pacientes!$U:$U, 0)), "")</f>
        <v/>
      </c>
      <c r="M17" s="22" t="str">
        <f aca="false" t="array" ref="M17:M17">IFERROR(INDEX(Pacientes!$A:$A, MATCH("Plano de Tratamento|15", Pacientes!$U:$U, 0)), "")</f>
        <v/>
      </c>
      <c r="N17" s="24" t="str">
        <f aca="false" t="array" ref="N17:N17">IFERROR(INDEX(Pacientes!$M:$M, MATCH("Plano de Tratamento|15", Pacientes!$U:$U, 0)), "")</f>
        <v/>
      </c>
      <c r="P17" s="22" t="str">
        <f aca="false" t="array" ref="P17:P17">IFERROR(INDEX(Pacientes!$A:$A, MATCH("Fechado|15", Pacientes!$X:$X, 0)), "")</f>
        <v>Davi Norte Menezes</v>
      </c>
      <c r="Q17" s="24" t="n">
        <f aca="false" t="array" ref="Q17:Q17">IFERROR(INDEX(Pacientes!$O:$O, MATCH("Fechado|15", Pacientes!$X:$X, 0)), "")</f>
        <v>3800</v>
      </c>
      <c r="S17" s="22" t="str">
        <f aca="false" t="array" ref="S17:S17">IFERROR(INDEX(Pacientes!$A:$A, MATCH("Perdido|15", Pacientes!$U:$U, 0)), "")</f>
        <v/>
      </c>
      <c r="T17" s="22" t="str">
        <f aca="false" t="array" ref="T17:T17">IFERROR(INDEX(Pacientes!$Q:$Q, MATCH("Perdido|15", Pacientes!$U:$U, 0)), "")</f>
        <v/>
      </c>
      <c r="V17" s="22" t="str">
        <f aca="false" t="array" ref="V17:V17">IFERROR(INDEX(Pacientes!$A:$A, MATCH("Pendente|15", Pacientes!$U:$U, 0)), "")</f>
        <v/>
      </c>
      <c r="W17" s="22" t="str">
        <f aca="false" t="array" ref="W17:W17">IFERROR(INDEX(Pacientes!$S:$S, MATCH("Pendente|15", Pacientes!$U:$U, 0)), "")</f>
        <v/>
      </c>
      <c r="Y17" s="22" t="str">
        <f aca="false" t="array" ref="Y17:Y17">IFERROR(INDEX(Pacientes!$A:$A, MATCH("Não Precisa no Momento|15", Pacientes!$U:$U, 0)), "")</f>
        <v/>
      </c>
      <c r="Z17" s="22" t="str">
        <f aca="false" t="array" ref="Z17:Z17">IFERROR(INDEX(Pacientes!$S:$S, MATCH("Não Precisa no Momento|15", Pacientes!$U:$U, 0)), "")</f>
        <v/>
      </c>
    </row>
    <row r="18" customFormat="false" ht="15" hidden="false" customHeight="true" outlineLevel="0" collapsed="false">
      <c r="A18" s="22" t="str">
        <f aca="false" t="array" ref="A18:A18">IFERROR(INDEX(Pacientes!$A:$A, MATCH("Novo Paciente|16", Pacientes!$U:$U, 0)), "")</f>
        <v/>
      </c>
      <c r="B18" s="23" t="str">
        <f aca="false" t="array" ref="B18:B18">IFERROR(INDEX(Pacientes!$G:$G, MATCH("Novo Paciente|16", Pacientes!$U:$U, 0)), "")</f>
        <v/>
      </c>
      <c r="D18" s="22" t="str">
        <f aca="false" t="array" ref="D18:D18">IFERROR(INDEX(Pacientes!$A:$A, MATCH("Consulta Marcada|16", Pacientes!$U:$U, 0)), "")</f>
        <v/>
      </c>
      <c r="E18" s="23" t="str">
        <f aca="false" t="array" ref="E18:E18">IFERROR(INDEX(Pacientes!$I:$I, MATCH("Consulta Marcada|16", Pacientes!$U:$U, 0)), "")</f>
        <v/>
      </c>
      <c r="G18" s="22" t="str">
        <f aca="false" t="array" ref="G18:G18">IFERROR(INDEX(Pacientes!$A:$A, MATCH("Não Compareceu|16", Pacientes!$U:$U, 0)), "")</f>
        <v/>
      </c>
      <c r="H18" s="23" t="str">
        <f aca="false" t="array" ref="H18:H18">IFERROR(INDEX(Pacientes!$I:$I, MATCH("Não Compareceu|16", Pacientes!$U:$U, 0)), "")</f>
        <v/>
      </c>
      <c r="J18" s="22" t="str">
        <f aca="false" t="array" ref="J18:J18">IFERROR(INDEX(Pacientes!$A:$A, MATCH("Compareceu|16", Pacientes!$U:$U, 0)), "")</f>
        <v/>
      </c>
      <c r="K18" s="22" t="str">
        <f aca="false" t="array" ref="K18:K18">IFERROR(INDEX(Pacientes!$K:$K, MATCH("Compareceu|16", Pacientes!$U:$U, 0)), "")</f>
        <v/>
      </c>
      <c r="M18" s="22" t="str">
        <f aca="false" t="array" ref="M18:M18">IFERROR(INDEX(Pacientes!$A:$A, MATCH("Plano de Tratamento|16", Pacientes!$U:$U, 0)), "")</f>
        <v/>
      </c>
      <c r="N18" s="24" t="str">
        <f aca="false" t="array" ref="N18:N18">IFERROR(INDEX(Pacientes!$M:$M, MATCH("Plano de Tratamento|16", Pacientes!$U:$U, 0)), "")</f>
        <v/>
      </c>
      <c r="P18" s="22" t="str">
        <f aca="false" t="array" ref="P18:P18">IFERROR(INDEX(Pacientes!$A:$A, MATCH("Fechado|16", Pacientes!$X:$X, 0)), "")</f>
        <v>Olivia Amorim Dornas</v>
      </c>
      <c r="Q18" s="24" t="n">
        <f aca="false" t="array" ref="Q18:Q18">IFERROR(INDEX(Pacientes!$O:$O, MATCH("Fechado|16", Pacientes!$X:$X, 0)), "")</f>
        <v>3000</v>
      </c>
      <c r="S18" s="22" t="str">
        <f aca="false" t="array" ref="S18:S18">IFERROR(INDEX(Pacientes!$A:$A, MATCH("Perdido|16", Pacientes!$U:$U, 0)), "")</f>
        <v/>
      </c>
      <c r="T18" s="22" t="str">
        <f aca="false" t="array" ref="T18:T18">IFERROR(INDEX(Pacientes!$Q:$Q, MATCH("Perdido|16", Pacientes!$U:$U, 0)), "")</f>
        <v/>
      </c>
      <c r="V18" s="22" t="str">
        <f aca="false" t="array" ref="V18:V18">IFERROR(INDEX(Pacientes!$A:$A, MATCH("Pendente|16", Pacientes!$U:$U, 0)), "")</f>
        <v/>
      </c>
      <c r="W18" s="22" t="str">
        <f aca="false" t="array" ref="W18:W18">IFERROR(INDEX(Pacientes!$S:$S, MATCH("Pendente|16", Pacientes!$U:$U, 0)), "")</f>
        <v/>
      </c>
      <c r="Y18" s="22" t="str">
        <f aca="false" t="array" ref="Y18:Y18">IFERROR(INDEX(Pacientes!$A:$A, MATCH("Não Precisa no Momento|16", Pacientes!$U:$U, 0)), "")</f>
        <v/>
      </c>
      <c r="Z18" s="22" t="str">
        <f aca="false" t="array" ref="Z18:Z18">IFERROR(INDEX(Pacientes!$S:$S, MATCH("Não Precisa no Momento|16", Pacientes!$U:$U, 0)), "")</f>
        <v/>
      </c>
    </row>
    <row r="19" customFormat="false" ht="15" hidden="false" customHeight="true" outlineLevel="0" collapsed="false">
      <c r="A19" s="22" t="str">
        <f aca="false" t="array" ref="A19:A19">IFERROR(INDEX(Pacientes!$A:$A, MATCH("Novo Paciente|17", Pacientes!$U:$U, 0)), "")</f>
        <v/>
      </c>
      <c r="B19" s="23" t="str">
        <f aca="false" t="array" ref="B19:B19">IFERROR(INDEX(Pacientes!$G:$G, MATCH("Novo Paciente|17", Pacientes!$U:$U, 0)), "")</f>
        <v/>
      </c>
      <c r="D19" s="22" t="str">
        <f aca="false" t="array" ref="D19:D19">IFERROR(INDEX(Pacientes!$A:$A, MATCH("Consulta Marcada|17", Pacientes!$U:$U, 0)), "")</f>
        <v/>
      </c>
      <c r="E19" s="23" t="str">
        <f aca="false" t="array" ref="E19:E19">IFERROR(INDEX(Pacientes!$I:$I, MATCH("Consulta Marcada|17", Pacientes!$U:$U, 0)), "")</f>
        <v/>
      </c>
      <c r="G19" s="22" t="str">
        <f aca="false" t="array" ref="G19:G19">IFERROR(INDEX(Pacientes!$A:$A, MATCH("Não Compareceu|17", Pacientes!$U:$U, 0)), "")</f>
        <v/>
      </c>
      <c r="H19" s="23" t="str">
        <f aca="false" t="array" ref="H19:H19">IFERROR(INDEX(Pacientes!$I:$I, MATCH("Não Compareceu|17", Pacientes!$U:$U, 0)), "")</f>
        <v/>
      </c>
      <c r="J19" s="22" t="str">
        <f aca="false" t="array" ref="J19:J19">IFERROR(INDEX(Pacientes!$A:$A, MATCH("Compareceu|17", Pacientes!$U:$U, 0)), "")</f>
        <v/>
      </c>
      <c r="K19" s="22" t="str">
        <f aca="false" t="array" ref="K19:K19">IFERROR(INDEX(Pacientes!$K:$K, MATCH("Compareceu|17", Pacientes!$U:$U, 0)), "")</f>
        <v/>
      </c>
      <c r="M19" s="22" t="str">
        <f aca="false" t="array" ref="M19:M19">IFERROR(INDEX(Pacientes!$A:$A, MATCH("Plano de Tratamento|17", Pacientes!$U:$U, 0)), "")</f>
        <v/>
      </c>
      <c r="N19" s="24" t="str">
        <f aca="false" t="array" ref="N19:N19">IFERROR(INDEX(Pacientes!$M:$M, MATCH("Plano de Tratamento|17", Pacientes!$U:$U, 0)), "")</f>
        <v/>
      </c>
      <c r="P19" s="22" t="str">
        <f aca="false" t="array" ref="P19:P19">IFERROR(INDEX(Pacientes!$A:$A, MATCH("Fechado|17", Pacientes!$X:$X, 0)), "")</f>
        <v>Manoela Almeida Moore</v>
      </c>
      <c r="Q19" s="24" t="n">
        <f aca="false" t="array" ref="Q19:Q19">IFERROR(INDEX(Pacientes!$O:$O, MATCH("Fechado|17", Pacientes!$X:$X, 0)), "")</f>
        <v>3800</v>
      </c>
      <c r="S19" s="22" t="str">
        <f aca="false" t="array" ref="S19:S19">IFERROR(INDEX(Pacientes!$A:$A, MATCH("Perdido|17", Pacientes!$U:$U, 0)), "")</f>
        <v/>
      </c>
      <c r="T19" s="22" t="str">
        <f aca="false" t="array" ref="T19:T19">IFERROR(INDEX(Pacientes!$Q:$Q, MATCH("Perdido|17", Pacientes!$U:$U, 0)), "")</f>
        <v/>
      </c>
      <c r="V19" s="22" t="str">
        <f aca="false" t="array" ref="V19:V19">IFERROR(INDEX(Pacientes!$A:$A, MATCH("Pendente|17", Pacientes!$U:$U, 0)), "")</f>
        <v/>
      </c>
      <c r="W19" s="22" t="str">
        <f aca="false" t="array" ref="W19:W19">IFERROR(INDEX(Pacientes!$S:$S, MATCH("Pendente|17", Pacientes!$U:$U, 0)), "")</f>
        <v/>
      </c>
      <c r="Y19" s="22" t="str">
        <f aca="false" t="array" ref="Y19:Y19">IFERROR(INDEX(Pacientes!$A:$A, MATCH("Não Precisa no Momento|17", Pacientes!$U:$U, 0)), "")</f>
        <v/>
      </c>
      <c r="Z19" s="22" t="str">
        <f aca="false" t="array" ref="Z19:Z19">IFERROR(INDEX(Pacientes!$S:$S, MATCH("Não Precisa no Momento|17", Pacientes!$U:$U, 0)), "")</f>
        <v/>
      </c>
    </row>
    <row r="20" customFormat="false" ht="15" hidden="false" customHeight="true" outlineLevel="0" collapsed="false">
      <c r="A20" s="22" t="str">
        <f aca="false" t="array" ref="A20:A20">IFERROR(INDEX(Pacientes!$A:$A, MATCH("Novo Paciente|18", Pacientes!$U:$U, 0)), "")</f>
        <v/>
      </c>
      <c r="B20" s="23" t="str">
        <f aca="false" t="array" ref="B20:B20">IFERROR(INDEX(Pacientes!$G:$G, MATCH("Novo Paciente|18", Pacientes!$U:$U, 0)), "")</f>
        <v/>
      </c>
      <c r="D20" s="22" t="str">
        <f aca="false" t="array" ref="D20:D20">IFERROR(INDEX(Pacientes!$A:$A, MATCH("Consulta Marcada|18", Pacientes!$U:$U, 0)), "")</f>
        <v/>
      </c>
      <c r="E20" s="23" t="str">
        <f aca="false" t="array" ref="E20:E20">IFERROR(INDEX(Pacientes!$I:$I, MATCH("Consulta Marcada|18", Pacientes!$U:$U, 0)), "")</f>
        <v/>
      </c>
      <c r="G20" s="22" t="str">
        <f aca="false" t="array" ref="G20:G20">IFERROR(INDEX(Pacientes!$A:$A, MATCH("Não Compareceu|18", Pacientes!$U:$U, 0)), "")</f>
        <v/>
      </c>
      <c r="H20" s="23" t="str">
        <f aca="false" t="array" ref="H20:H20">IFERROR(INDEX(Pacientes!$I:$I, MATCH("Não Compareceu|18", Pacientes!$U:$U, 0)), "")</f>
        <v/>
      </c>
      <c r="J20" s="22" t="str">
        <f aca="false" t="array" ref="J20:J20">IFERROR(INDEX(Pacientes!$A:$A, MATCH("Compareceu|18", Pacientes!$U:$U, 0)), "")</f>
        <v/>
      </c>
      <c r="K20" s="22" t="str">
        <f aca="false" t="array" ref="K20:K20">IFERROR(INDEX(Pacientes!$K:$K, MATCH("Compareceu|18", Pacientes!$U:$U, 0)), "")</f>
        <v/>
      </c>
      <c r="M20" s="22" t="str">
        <f aca="false" t="array" ref="M20:M20">IFERROR(INDEX(Pacientes!$A:$A, MATCH("Plano de Tratamento|18", Pacientes!$U:$U, 0)), "")</f>
        <v/>
      </c>
      <c r="N20" s="24" t="str">
        <f aca="false" t="array" ref="N20:N20">IFERROR(INDEX(Pacientes!$M:$M, MATCH("Plano de Tratamento|18", Pacientes!$U:$U, 0)), "")</f>
        <v/>
      </c>
      <c r="P20" s="22" t="str">
        <f aca="false" t="array" ref="P20:P20">IFERROR(INDEX(Pacientes!$A:$A, MATCH("Fechado|18", Pacientes!$X:$X, 0)), "")</f>
        <v/>
      </c>
      <c r="Q20" s="24" t="str">
        <f aca="false" t="array" ref="Q20:Q20">IFERROR(INDEX(Pacientes!$O:$O, MATCH("Fechado|18", Pacientes!$X:$X, 0)), "")</f>
        <v/>
      </c>
      <c r="S20" s="22" t="str">
        <f aca="false" t="array" ref="S20:S20">IFERROR(INDEX(Pacientes!$A:$A, MATCH("Perdido|18", Pacientes!$U:$U, 0)), "")</f>
        <v/>
      </c>
      <c r="T20" s="22" t="str">
        <f aca="false" t="array" ref="T20:T20">IFERROR(INDEX(Pacientes!$Q:$Q, MATCH("Perdido|18", Pacientes!$U:$U, 0)), "")</f>
        <v/>
      </c>
      <c r="V20" s="22" t="str">
        <f aca="false" t="array" ref="V20:V20">IFERROR(INDEX(Pacientes!$A:$A, MATCH("Pendente|18", Pacientes!$U:$U, 0)), "")</f>
        <v/>
      </c>
      <c r="W20" s="22" t="str">
        <f aca="false" t="array" ref="W20:W20">IFERROR(INDEX(Pacientes!$S:$S, MATCH("Pendente|18", Pacientes!$U:$U, 0)), "")</f>
        <v/>
      </c>
      <c r="Y20" s="22" t="str">
        <f aca="false" t="array" ref="Y20:Y20">IFERROR(INDEX(Pacientes!$A:$A, MATCH("Não Precisa no Momento|18", Pacientes!$U:$U, 0)), "")</f>
        <v/>
      </c>
      <c r="Z20" s="22" t="str">
        <f aca="false" t="array" ref="Z20:Z20">IFERROR(INDEX(Pacientes!$S:$S, MATCH("Não Precisa no Momento|18", Pacientes!$U:$U, 0)), "")</f>
        <v/>
      </c>
    </row>
    <row r="21" customFormat="false" ht="15" hidden="false" customHeight="true" outlineLevel="0" collapsed="false">
      <c r="A21" s="22" t="str">
        <f aca="false" t="array" ref="A21:A21">IFERROR(INDEX(Pacientes!$A:$A, MATCH("Novo Paciente|19", Pacientes!$U:$U, 0)), "")</f>
        <v/>
      </c>
      <c r="B21" s="23" t="str">
        <f aca="false" t="array" ref="B21:B21">IFERROR(INDEX(Pacientes!$G:$G, MATCH("Novo Paciente|19", Pacientes!$U:$U, 0)), "")</f>
        <v/>
      </c>
      <c r="D21" s="22" t="str">
        <f aca="false" t="array" ref="D21:D21">IFERROR(INDEX(Pacientes!$A:$A, MATCH("Consulta Marcada|19", Pacientes!$U:$U, 0)), "")</f>
        <v/>
      </c>
      <c r="E21" s="23" t="str">
        <f aca="false" t="array" ref="E21:E21">IFERROR(INDEX(Pacientes!$I:$I, MATCH("Consulta Marcada|19", Pacientes!$U:$U, 0)), "")</f>
        <v/>
      </c>
      <c r="G21" s="22" t="str">
        <f aca="false" t="array" ref="G21:G21">IFERROR(INDEX(Pacientes!$A:$A, MATCH("Não Compareceu|19", Pacientes!$U:$U, 0)), "")</f>
        <v/>
      </c>
      <c r="H21" s="23" t="str">
        <f aca="false" t="array" ref="H21:H21">IFERROR(INDEX(Pacientes!$I:$I, MATCH("Não Compareceu|19", Pacientes!$U:$U, 0)), "")</f>
        <v/>
      </c>
      <c r="J21" s="22" t="str">
        <f aca="false" t="array" ref="J21:J21">IFERROR(INDEX(Pacientes!$A:$A, MATCH("Compareceu|19", Pacientes!$U:$U, 0)), "")</f>
        <v/>
      </c>
      <c r="K21" s="22" t="str">
        <f aca="false" t="array" ref="K21:K21">IFERROR(INDEX(Pacientes!$K:$K, MATCH("Compareceu|19", Pacientes!$U:$U, 0)), "")</f>
        <v/>
      </c>
      <c r="M21" s="22" t="str">
        <f aca="false" t="array" ref="M21:M21">IFERROR(INDEX(Pacientes!$A:$A, MATCH("Plano de Tratamento|19", Pacientes!$U:$U, 0)), "")</f>
        <v/>
      </c>
      <c r="N21" s="24" t="str">
        <f aca="false" t="array" ref="N21:N21">IFERROR(INDEX(Pacientes!$M:$M, MATCH("Plano de Tratamento|19", Pacientes!$U:$U, 0)), "")</f>
        <v/>
      </c>
      <c r="P21" s="22" t="str">
        <f aca="false" t="array" ref="P21:P21">IFERROR(INDEX(Pacientes!$A:$A, MATCH("Fechado|19", Pacientes!$X:$X, 0)), "")</f>
        <v/>
      </c>
      <c r="Q21" s="24" t="str">
        <f aca="false" t="array" ref="Q21:Q21">IFERROR(INDEX(Pacientes!$O:$O, MATCH("Fechado|19", Pacientes!$X:$X, 0)), "")</f>
        <v/>
      </c>
      <c r="S21" s="22" t="str">
        <f aca="false" t="array" ref="S21:S21">IFERROR(INDEX(Pacientes!$A:$A, MATCH("Perdido|19", Pacientes!$U:$U, 0)), "")</f>
        <v/>
      </c>
      <c r="T21" s="22" t="str">
        <f aca="false" t="array" ref="T21:T21">IFERROR(INDEX(Pacientes!$Q:$Q, MATCH("Perdido|19", Pacientes!$U:$U, 0)), "")</f>
        <v/>
      </c>
      <c r="V21" s="22" t="str">
        <f aca="false" t="array" ref="V21:V21">IFERROR(INDEX(Pacientes!$A:$A, MATCH("Pendente|19", Pacientes!$U:$U, 0)), "")</f>
        <v/>
      </c>
      <c r="W21" s="22" t="str">
        <f aca="false" t="array" ref="W21:W21">IFERROR(INDEX(Pacientes!$S:$S, MATCH("Pendente|19", Pacientes!$U:$U, 0)), "")</f>
        <v/>
      </c>
      <c r="Y21" s="22" t="str">
        <f aca="false" t="array" ref="Y21:Y21">IFERROR(INDEX(Pacientes!$A:$A, MATCH("Não Precisa no Momento|19", Pacientes!$U:$U, 0)), "")</f>
        <v/>
      </c>
      <c r="Z21" s="22" t="str">
        <f aca="false" t="array" ref="Z21:Z21">IFERROR(INDEX(Pacientes!$S:$S, MATCH("Não Precisa no Momento|19", Pacientes!$U:$U, 0)), "")</f>
        <v/>
      </c>
    </row>
    <row r="22" customFormat="false" ht="15" hidden="false" customHeight="true" outlineLevel="0" collapsed="false">
      <c r="A22" s="22" t="str">
        <f aca="false" t="array" ref="A22:A22">IFERROR(INDEX(Pacientes!$A:$A, MATCH("Novo Paciente|20", Pacientes!$U:$U, 0)), "")</f>
        <v/>
      </c>
      <c r="B22" s="23" t="str">
        <f aca="false" t="array" ref="B22:B22">IFERROR(INDEX(Pacientes!$G:$G, MATCH("Novo Paciente|20", Pacientes!$U:$U, 0)), "")</f>
        <v/>
      </c>
      <c r="D22" s="22" t="str">
        <f aca="false" t="array" ref="D22:D22">IFERROR(INDEX(Pacientes!$A:$A, MATCH("Consulta Marcada|20", Pacientes!$U:$U, 0)), "")</f>
        <v/>
      </c>
      <c r="E22" s="23" t="str">
        <f aca="false" t="array" ref="E22:E22">IFERROR(INDEX(Pacientes!$I:$I, MATCH("Consulta Marcada|20", Pacientes!$U:$U, 0)), "")</f>
        <v/>
      </c>
      <c r="G22" s="22" t="str">
        <f aca="false" t="array" ref="G22:G22">IFERROR(INDEX(Pacientes!$A:$A, MATCH("Não Compareceu|20", Pacientes!$U:$U, 0)), "")</f>
        <v/>
      </c>
      <c r="H22" s="23" t="str">
        <f aca="false" t="array" ref="H22:H22">IFERROR(INDEX(Pacientes!$I:$I, MATCH("Não Compareceu|20", Pacientes!$U:$U, 0)), "")</f>
        <v/>
      </c>
      <c r="J22" s="22" t="str">
        <f aca="false" t="array" ref="J22:J22">IFERROR(INDEX(Pacientes!$A:$A, MATCH("Compareceu|20", Pacientes!$U:$U, 0)), "")</f>
        <v/>
      </c>
      <c r="K22" s="22" t="str">
        <f aca="false" t="array" ref="K22:K22">IFERROR(INDEX(Pacientes!$K:$K, MATCH("Compareceu|20", Pacientes!$U:$U, 0)), "")</f>
        <v/>
      </c>
      <c r="M22" s="22" t="str">
        <f aca="false" t="array" ref="M22:M22">IFERROR(INDEX(Pacientes!$A:$A, MATCH("Plano de Tratamento|20", Pacientes!$U:$U, 0)), "")</f>
        <v/>
      </c>
      <c r="N22" s="24" t="str">
        <f aca="false" t="array" ref="N22:N22">IFERROR(INDEX(Pacientes!$M:$M, MATCH("Plano de Tratamento|20", Pacientes!$U:$U, 0)), "")</f>
        <v/>
      </c>
      <c r="P22" s="22" t="str">
        <f aca="false" t="array" ref="P22:P22">IFERROR(INDEX(Pacientes!$A:$A, MATCH("Fechado|20", Pacientes!$X:$X, 0)), "")</f>
        <v/>
      </c>
      <c r="Q22" s="24" t="str">
        <f aca="false" t="array" ref="Q22:Q22">IFERROR(INDEX(Pacientes!$O:$O, MATCH("Fechado|20", Pacientes!$X:$X, 0)), "")</f>
        <v/>
      </c>
      <c r="S22" s="22" t="str">
        <f aca="false" t="array" ref="S22:S22">IFERROR(INDEX(Pacientes!$A:$A, MATCH("Perdido|20", Pacientes!$U:$U, 0)), "")</f>
        <v/>
      </c>
      <c r="T22" s="22" t="str">
        <f aca="false" t="array" ref="T22:T22">IFERROR(INDEX(Pacientes!$Q:$Q, MATCH("Perdido|20", Pacientes!$U:$U, 0)), "")</f>
        <v/>
      </c>
      <c r="V22" s="22" t="str">
        <f aca="false" t="array" ref="V22:V22">IFERROR(INDEX(Pacientes!$A:$A, MATCH("Pendente|20", Pacientes!$U:$U, 0)), "")</f>
        <v/>
      </c>
      <c r="W22" s="22" t="str">
        <f aca="false" t="array" ref="W22:W22">IFERROR(INDEX(Pacientes!$S:$S, MATCH("Pendente|20", Pacientes!$U:$U, 0)), "")</f>
        <v/>
      </c>
      <c r="Y22" s="22" t="str">
        <f aca="false" t="array" ref="Y22:Y22">IFERROR(INDEX(Pacientes!$A:$A, MATCH("Não Precisa no Momento|20", Pacientes!$U:$U, 0)), "")</f>
        <v/>
      </c>
      <c r="Z22" s="22" t="str">
        <f aca="false" t="array" ref="Z22:Z22">IFERROR(INDEX(Pacientes!$S:$S, MATCH("Não Precisa no Momento|20", Pacientes!$U:$U, 0)), "")</f>
        <v/>
      </c>
    </row>
    <row r="23" customFormat="false" ht="15" hidden="false" customHeight="true" outlineLevel="0" collapsed="false">
      <c r="A23" s="22" t="str">
        <f aca="false" t="array" ref="A23:A23">IFERROR(INDEX(Pacientes!$A:$A, MATCH("Novo Paciente|21", Pacientes!$U:$U, 0)), "")</f>
        <v/>
      </c>
      <c r="B23" s="23" t="str">
        <f aca="false" t="array" ref="B23:B23">IFERROR(INDEX(Pacientes!$G:$G, MATCH("Novo Paciente|21", Pacientes!$U:$U, 0)), "")</f>
        <v/>
      </c>
      <c r="D23" s="22" t="str">
        <f aca="false" t="array" ref="D23:D23">IFERROR(INDEX(Pacientes!$A:$A, MATCH("Consulta Marcada|21", Pacientes!$U:$U, 0)), "")</f>
        <v/>
      </c>
      <c r="E23" s="23" t="str">
        <f aca="false" t="array" ref="E23:E23">IFERROR(INDEX(Pacientes!$I:$I, MATCH("Consulta Marcada|21", Pacientes!$U:$U, 0)), "")</f>
        <v/>
      </c>
      <c r="G23" s="22" t="str">
        <f aca="false" t="array" ref="G23:G23">IFERROR(INDEX(Pacientes!$A:$A, MATCH("Não Compareceu|21", Pacientes!$U:$U, 0)), "")</f>
        <v/>
      </c>
      <c r="H23" s="23" t="str">
        <f aca="false" t="array" ref="H23:H23">IFERROR(INDEX(Pacientes!$I:$I, MATCH("Não Compareceu|21", Pacientes!$U:$U, 0)), "")</f>
        <v/>
      </c>
      <c r="J23" s="22" t="str">
        <f aca="false" t="array" ref="J23:J23">IFERROR(INDEX(Pacientes!$A:$A, MATCH("Compareceu|21", Pacientes!$U:$U, 0)), "")</f>
        <v/>
      </c>
      <c r="K23" s="22" t="str">
        <f aca="false" t="array" ref="K23:K23">IFERROR(INDEX(Pacientes!$K:$K, MATCH("Compareceu|21", Pacientes!$U:$U, 0)), "")</f>
        <v/>
      </c>
      <c r="M23" s="22" t="str">
        <f aca="false" t="array" ref="M23:M23">IFERROR(INDEX(Pacientes!$A:$A, MATCH("Plano de Tratamento|21", Pacientes!$U:$U, 0)), "")</f>
        <v/>
      </c>
      <c r="N23" s="24" t="str">
        <f aca="false" t="array" ref="N23:N23">IFERROR(INDEX(Pacientes!$M:$M, MATCH("Plano de Tratamento|21", Pacientes!$U:$U, 0)), "")</f>
        <v/>
      </c>
      <c r="P23" s="22" t="str">
        <f aca="false" t="array" ref="P23:P23">IFERROR(INDEX(Pacientes!$A:$A, MATCH("Fechado|21", Pacientes!$X:$X, 0)), "")</f>
        <v/>
      </c>
      <c r="Q23" s="24" t="str">
        <f aca="false" t="array" ref="Q23:Q23">IFERROR(INDEX(Pacientes!$O:$O, MATCH("Fechado|21", Pacientes!$X:$X, 0)), "")</f>
        <v/>
      </c>
      <c r="S23" s="22" t="str">
        <f aca="false" t="array" ref="S23:S23">IFERROR(INDEX(Pacientes!$A:$A, MATCH("Perdido|21", Pacientes!$U:$U, 0)), "")</f>
        <v/>
      </c>
      <c r="T23" s="22" t="str">
        <f aca="false" t="array" ref="T23:T23">IFERROR(INDEX(Pacientes!$Q:$Q, MATCH("Perdido|21", Pacientes!$U:$U, 0)), "")</f>
        <v/>
      </c>
      <c r="V23" s="22" t="str">
        <f aca="false" t="array" ref="V23:V23">IFERROR(INDEX(Pacientes!$A:$A, MATCH("Pendente|21", Pacientes!$U:$U, 0)), "")</f>
        <v/>
      </c>
      <c r="W23" s="22" t="str">
        <f aca="false" t="array" ref="W23:W23">IFERROR(INDEX(Pacientes!$S:$S, MATCH("Pendente|21", Pacientes!$U:$U, 0)), "")</f>
        <v/>
      </c>
      <c r="Y23" s="22" t="str">
        <f aca="false" t="array" ref="Y23:Y23">IFERROR(INDEX(Pacientes!$A:$A, MATCH("Não Precisa no Momento|21", Pacientes!$U:$U, 0)), "")</f>
        <v/>
      </c>
      <c r="Z23" s="22" t="str">
        <f aca="false" t="array" ref="Z23:Z23">IFERROR(INDEX(Pacientes!$S:$S, MATCH("Não Precisa no Momento|21", Pacientes!$U:$U, 0)), "")</f>
        <v/>
      </c>
    </row>
    <row r="24" customFormat="false" ht="15" hidden="false" customHeight="true" outlineLevel="0" collapsed="false">
      <c r="A24" s="22" t="str">
        <f aca="false" t="array" ref="A24:A24">IFERROR(INDEX(Pacientes!$A:$A, MATCH("Novo Paciente|22", Pacientes!$U:$U, 0)), "")</f>
        <v/>
      </c>
      <c r="B24" s="23" t="str">
        <f aca="false" t="array" ref="B24:B24">IFERROR(INDEX(Pacientes!$G:$G, MATCH("Novo Paciente|22", Pacientes!$U:$U, 0)), "")</f>
        <v/>
      </c>
      <c r="D24" s="22" t="str">
        <f aca="false" t="array" ref="D24:D24">IFERROR(INDEX(Pacientes!$A:$A, MATCH("Consulta Marcada|22", Pacientes!$U:$U, 0)), "")</f>
        <v/>
      </c>
      <c r="E24" s="23" t="str">
        <f aca="false" t="array" ref="E24:E24">IFERROR(INDEX(Pacientes!$I:$I, MATCH("Consulta Marcada|22", Pacientes!$U:$U, 0)), "")</f>
        <v/>
      </c>
      <c r="G24" s="22" t="str">
        <f aca="false" t="array" ref="G24:G24">IFERROR(INDEX(Pacientes!$A:$A, MATCH("Não Compareceu|22", Pacientes!$U:$U, 0)), "")</f>
        <v/>
      </c>
      <c r="H24" s="23" t="str">
        <f aca="false" t="array" ref="H24:H24">IFERROR(INDEX(Pacientes!$I:$I, MATCH("Não Compareceu|22", Pacientes!$U:$U, 0)), "")</f>
        <v/>
      </c>
      <c r="J24" s="22" t="str">
        <f aca="false" t="array" ref="J24:J24">IFERROR(INDEX(Pacientes!$A:$A, MATCH("Compareceu|22", Pacientes!$U:$U, 0)), "")</f>
        <v/>
      </c>
      <c r="K24" s="22" t="str">
        <f aca="false" t="array" ref="K24:K24">IFERROR(INDEX(Pacientes!$K:$K, MATCH("Compareceu|22", Pacientes!$U:$U, 0)), "")</f>
        <v/>
      </c>
      <c r="M24" s="22" t="str">
        <f aca="false" t="array" ref="M24:M24">IFERROR(INDEX(Pacientes!$A:$A, MATCH("Plano de Tratamento|22", Pacientes!$U:$U, 0)), "")</f>
        <v/>
      </c>
      <c r="N24" s="24" t="str">
        <f aca="false" t="array" ref="N24:N24">IFERROR(INDEX(Pacientes!$M:$M, MATCH("Plano de Tratamento|22", Pacientes!$U:$U, 0)), "")</f>
        <v/>
      </c>
      <c r="P24" s="22" t="str">
        <f aca="false" t="array" ref="P24:P24">IFERROR(INDEX(Pacientes!$A:$A, MATCH("Fechado|22", Pacientes!$X:$X, 0)), "")</f>
        <v/>
      </c>
      <c r="Q24" s="24" t="str">
        <f aca="false" t="array" ref="Q24:Q24">IFERROR(INDEX(Pacientes!$O:$O, MATCH("Fechado|22", Pacientes!$X:$X, 0)), "")</f>
        <v/>
      </c>
      <c r="S24" s="22" t="str">
        <f aca="false" t="array" ref="S24:S24">IFERROR(INDEX(Pacientes!$A:$A, MATCH("Perdido|22", Pacientes!$U:$U, 0)), "")</f>
        <v/>
      </c>
      <c r="T24" s="22" t="str">
        <f aca="false" t="array" ref="T24:T24">IFERROR(INDEX(Pacientes!$Q:$Q, MATCH("Perdido|22", Pacientes!$U:$U, 0)), "")</f>
        <v/>
      </c>
      <c r="V24" s="22" t="str">
        <f aca="false" t="array" ref="V24:V24">IFERROR(INDEX(Pacientes!$A:$A, MATCH("Pendente|22", Pacientes!$U:$U, 0)), "")</f>
        <v/>
      </c>
      <c r="W24" s="22" t="str">
        <f aca="false" t="array" ref="W24:W24">IFERROR(INDEX(Pacientes!$S:$S, MATCH("Pendente|22", Pacientes!$U:$U, 0)), "")</f>
        <v/>
      </c>
      <c r="Y24" s="22" t="str">
        <f aca="false" t="array" ref="Y24:Y24">IFERROR(INDEX(Pacientes!$A:$A, MATCH("Não Precisa no Momento|22", Pacientes!$U:$U, 0)), "")</f>
        <v/>
      </c>
      <c r="Z24" s="22" t="str">
        <f aca="false" t="array" ref="Z24:Z24">IFERROR(INDEX(Pacientes!$S:$S, MATCH("Não Precisa no Momento|22", Pacientes!$U:$U, 0)), "")</f>
        <v/>
      </c>
    </row>
    <row r="25" customFormat="false" ht="15" hidden="false" customHeight="true" outlineLevel="0" collapsed="false">
      <c r="A25" s="22" t="str">
        <f aca="false" t="array" ref="A25:A25">IFERROR(INDEX(Pacientes!$A:$A, MATCH("Novo Paciente|23", Pacientes!$U:$U, 0)), "")</f>
        <v/>
      </c>
      <c r="B25" s="23" t="str">
        <f aca="false" t="array" ref="B25:B25">IFERROR(INDEX(Pacientes!$G:$G, MATCH("Novo Paciente|23", Pacientes!$U:$U, 0)), "")</f>
        <v/>
      </c>
      <c r="D25" s="22" t="str">
        <f aca="false" t="array" ref="D25:D25">IFERROR(INDEX(Pacientes!$A:$A, MATCH("Consulta Marcada|23", Pacientes!$U:$U, 0)), "")</f>
        <v/>
      </c>
      <c r="E25" s="23" t="str">
        <f aca="false" t="array" ref="E25:E25">IFERROR(INDEX(Pacientes!$I:$I, MATCH("Consulta Marcada|23", Pacientes!$U:$U, 0)), "")</f>
        <v/>
      </c>
      <c r="G25" s="22" t="str">
        <f aca="false" t="array" ref="G25:G25">IFERROR(INDEX(Pacientes!$A:$A, MATCH("Não Compareceu|23", Pacientes!$U:$U, 0)), "")</f>
        <v/>
      </c>
      <c r="H25" s="23" t="str">
        <f aca="false" t="array" ref="H25:H25">IFERROR(INDEX(Pacientes!$I:$I, MATCH("Não Compareceu|23", Pacientes!$U:$U, 0)), "")</f>
        <v/>
      </c>
      <c r="J25" s="22" t="str">
        <f aca="false" t="array" ref="J25:J25">IFERROR(INDEX(Pacientes!$A:$A, MATCH("Compareceu|23", Pacientes!$U:$U, 0)), "")</f>
        <v/>
      </c>
      <c r="K25" s="22" t="str">
        <f aca="false" t="array" ref="K25:K25">IFERROR(INDEX(Pacientes!$K:$K, MATCH("Compareceu|23", Pacientes!$U:$U, 0)), "")</f>
        <v/>
      </c>
      <c r="M25" s="22" t="str">
        <f aca="false" t="array" ref="M25:M25">IFERROR(INDEX(Pacientes!$A:$A, MATCH("Plano de Tratamento|23", Pacientes!$U:$U, 0)), "")</f>
        <v/>
      </c>
      <c r="N25" s="24" t="str">
        <f aca="false" t="array" ref="N25:N25">IFERROR(INDEX(Pacientes!$M:$M, MATCH("Plano de Tratamento|23", Pacientes!$U:$U, 0)), "")</f>
        <v/>
      </c>
      <c r="P25" s="22" t="str">
        <f aca="false" t="array" ref="P25:P25">IFERROR(INDEX(Pacientes!$A:$A, MATCH("Fechado|23", Pacientes!$X:$X, 0)), "")</f>
        <v/>
      </c>
      <c r="Q25" s="24" t="str">
        <f aca="false" t="array" ref="Q25:Q25">IFERROR(INDEX(Pacientes!$O:$O, MATCH("Fechado|23", Pacientes!$X:$X, 0)), "")</f>
        <v/>
      </c>
      <c r="S25" s="22" t="str">
        <f aca="false" t="array" ref="S25:S25">IFERROR(INDEX(Pacientes!$A:$A, MATCH("Perdido|23", Pacientes!$U:$U, 0)), "")</f>
        <v/>
      </c>
      <c r="T25" s="22" t="str">
        <f aca="false" t="array" ref="T25:T25">IFERROR(INDEX(Pacientes!$Q:$Q, MATCH("Perdido|23", Pacientes!$U:$U, 0)), "")</f>
        <v/>
      </c>
      <c r="V25" s="22" t="str">
        <f aca="false" t="array" ref="V25:V25">IFERROR(INDEX(Pacientes!$A:$A, MATCH("Pendente|23", Pacientes!$U:$U, 0)), "")</f>
        <v/>
      </c>
      <c r="W25" s="22" t="str">
        <f aca="false" t="array" ref="W25:W25">IFERROR(INDEX(Pacientes!$S:$S, MATCH("Pendente|23", Pacientes!$U:$U, 0)), "")</f>
        <v/>
      </c>
      <c r="Y25" s="22" t="str">
        <f aca="false" t="array" ref="Y25:Y25">IFERROR(INDEX(Pacientes!$A:$A, MATCH("Não Precisa no Momento|23", Pacientes!$U:$U, 0)), "")</f>
        <v/>
      </c>
      <c r="Z25" s="22" t="str">
        <f aca="false" t="array" ref="Z25:Z25">IFERROR(INDEX(Pacientes!$S:$S, MATCH("Não Precisa no Momento|23", Pacientes!$U:$U, 0)), "")</f>
        <v/>
      </c>
    </row>
    <row r="26" customFormat="false" ht="15" hidden="false" customHeight="true" outlineLevel="0" collapsed="false">
      <c r="A26" s="22" t="str">
        <f aca="false" t="array" ref="A26:A26">IFERROR(INDEX(Pacientes!$A:$A, MATCH("Novo Paciente|24", Pacientes!$U:$U, 0)), "")</f>
        <v/>
      </c>
      <c r="B26" s="23" t="str">
        <f aca="false" t="array" ref="B26:B26">IFERROR(INDEX(Pacientes!$G:$G, MATCH("Novo Paciente|24", Pacientes!$U:$U, 0)), "")</f>
        <v/>
      </c>
      <c r="D26" s="22" t="str">
        <f aca="false" t="array" ref="D26:D26">IFERROR(INDEX(Pacientes!$A:$A, MATCH("Consulta Marcada|24", Pacientes!$U:$U, 0)), "")</f>
        <v/>
      </c>
      <c r="E26" s="23" t="str">
        <f aca="false" t="array" ref="E26:E26">IFERROR(INDEX(Pacientes!$I:$I, MATCH("Consulta Marcada|24", Pacientes!$U:$U, 0)), "")</f>
        <v/>
      </c>
      <c r="G26" s="22" t="str">
        <f aca="false" t="array" ref="G26:G26">IFERROR(INDEX(Pacientes!$A:$A, MATCH("Não Compareceu|24", Pacientes!$U:$U, 0)), "")</f>
        <v/>
      </c>
      <c r="H26" s="23" t="str">
        <f aca="false" t="array" ref="H26:H26">IFERROR(INDEX(Pacientes!$I:$I, MATCH("Não Compareceu|24", Pacientes!$U:$U, 0)), "")</f>
        <v/>
      </c>
      <c r="J26" s="22" t="str">
        <f aca="false" t="array" ref="J26:J26">IFERROR(INDEX(Pacientes!$A:$A, MATCH("Compareceu|24", Pacientes!$U:$U, 0)), "")</f>
        <v/>
      </c>
      <c r="K26" s="22" t="str">
        <f aca="false" t="array" ref="K26:K26">IFERROR(INDEX(Pacientes!$K:$K, MATCH("Compareceu|24", Pacientes!$U:$U, 0)), "")</f>
        <v/>
      </c>
      <c r="M26" s="22" t="str">
        <f aca="false" t="array" ref="M26:M26">IFERROR(INDEX(Pacientes!$A:$A, MATCH("Plano de Tratamento|24", Pacientes!$U:$U, 0)), "")</f>
        <v/>
      </c>
      <c r="N26" s="24" t="str">
        <f aca="false" t="array" ref="N26:N26">IFERROR(INDEX(Pacientes!$M:$M, MATCH("Plano de Tratamento|24", Pacientes!$U:$U, 0)), "")</f>
        <v/>
      </c>
      <c r="P26" s="22" t="str">
        <f aca="false" t="array" ref="P26:P26">IFERROR(INDEX(Pacientes!$A:$A, MATCH("Fechado|24", Pacientes!$X:$X, 0)), "")</f>
        <v/>
      </c>
      <c r="Q26" s="24" t="str">
        <f aca="false" t="array" ref="Q26:Q26">IFERROR(INDEX(Pacientes!$O:$O, MATCH("Fechado|24", Pacientes!$X:$X, 0)), "")</f>
        <v/>
      </c>
      <c r="S26" s="22" t="str">
        <f aca="false" t="array" ref="S26:S26">IFERROR(INDEX(Pacientes!$A:$A, MATCH("Perdido|24", Pacientes!$U:$U, 0)), "")</f>
        <v/>
      </c>
      <c r="T26" s="22" t="str">
        <f aca="false" t="array" ref="T26:T26">IFERROR(INDEX(Pacientes!$Q:$Q, MATCH("Perdido|24", Pacientes!$U:$U, 0)), "")</f>
        <v/>
      </c>
      <c r="V26" s="22" t="str">
        <f aca="false" t="array" ref="V26:V26">IFERROR(INDEX(Pacientes!$A:$A, MATCH("Pendente|24", Pacientes!$U:$U, 0)), "")</f>
        <v/>
      </c>
      <c r="W26" s="22" t="str">
        <f aca="false" t="array" ref="W26:W26">IFERROR(INDEX(Pacientes!$S:$S, MATCH("Pendente|24", Pacientes!$U:$U, 0)), "")</f>
        <v/>
      </c>
      <c r="Y26" s="22" t="str">
        <f aca="false" t="array" ref="Y26:Y26">IFERROR(INDEX(Pacientes!$A:$A, MATCH("Não Precisa no Momento|24", Pacientes!$U:$U, 0)), "")</f>
        <v/>
      </c>
      <c r="Z26" s="22" t="str">
        <f aca="false" t="array" ref="Z26:Z26">IFERROR(INDEX(Pacientes!$S:$S, MATCH("Não Precisa no Momento|24", Pacientes!$U:$U, 0)), "")</f>
        <v/>
      </c>
    </row>
    <row r="27" customFormat="false" ht="15" hidden="false" customHeight="true" outlineLevel="0" collapsed="false">
      <c r="A27" s="22" t="str">
        <f aca="false" t="array" ref="A27:A27">IFERROR(INDEX(Pacientes!$A:$A, MATCH("Novo Paciente|25", Pacientes!$U:$U, 0)), "")</f>
        <v/>
      </c>
      <c r="B27" s="23" t="str">
        <f aca="false" t="array" ref="B27:B27">IFERROR(INDEX(Pacientes!$G:$G, MATCH("Novo Paciente|25", Pacientes!$U:$U, 0)), "")</f>
        <v/>
      </c>
      <c r="D27" s="22" t="str">
        <f aca="false" t="array" ref="D27:D27">IFERROR(INDEX(Pacientes!$A:$A, MATCH("Consulta Marcada|25", Pacientes!$U:$U, 0)), "")</f>
        <v/>
      </c>
      <c r="E27" s="23" t="str">
        <f aca="false" t="array" ref="E27:E27">IFERROR(INDEX(Pacientes!$I:$I, MATCH("Consulta Marcada|25", Pacientes!$U:$U, 0)), "")</f>
        <v/>
      </c>
      <c r="G27" s="22" t="str">
        <f aca="false" t="array" ref="G27:G27">IFERROR(INDEX(Pacientes!$A:$A, MATCH("Não Compareceu|25", Pacientes!$U:$U, 0)), "")</f>
        <v/>
      </c>
      <c r="H27" s="23" t="str">
        <f aca="false" t="array" ref="H27:H27">IFERROR(INDEX(Pacientes!$I:$I, MATCH("Não Compareceu|25", Pacientes!$U:$U, 0)), "")</f>
        <v/>
      </c>
      <c r="J27" s="22" t="str">
        <f aca="false" t="array" ref="J27:J27">IFERROR(INDEX(Pacientes!$A:$A, MATCH("Compareceu|25", Pacientes!$U:$U, 0)), "")</f>
        <v/>
      </c>
      <c r="K27" s="22" t="str">
        <f aca="false" t="array" ref="K27:K27">IFERROR(INDEX(Pacientes!$K:$K, MATCH("Compareceu|25", Pacientes!$U:$U, 0)), "")</f>
        <v/>
      </c>
      <c r="M27" s="22" t="str">
        <f aca="false" t="array" ref="M27:M27">IFERROR(INDEX(Pacientes!$A:$A, MATCH("Plano de Tratamento|25", Pacientes!$U:$U, 0)), "")</f>
        <v/>
      </c>
      <c r="N27" s="24" t="str">
        <f aca="false" t="array" ref="N27:N27">IFERROR(INDEX(Pacientes!$M:$M, MATCH("Plano de Tratamento|25", Pacientes!$U:$U, 0)), "")</f>
        <v/>
      </c>
      <c r="P27" s="22" t="str">
        <f aca="false" t="array" ref="P27:P27">IFERROR(INDEX(Pacientes!$A:$A, MATCH("Fechado|25", Pacientes!$X:$X, 0)), "")</f>
        <v/>
      </c>
      <c r="Q27" s="24" t="str">
        <f aca="false" t="array" ref="Q27:Q27">IFERROR(INDEX(Pacientes!$O:$O, MATCH("Fechado|25", Pacientes!$X:$X, 0)), "")</f>
        <v/>
      </c>
      <c r="S27" s="22" t="str">
        <f aca="false" t="array" ref="S27:S27">IFERROR(INDEX(Pacientes!$A:$A, MATCH("Perdido|25", Pacientes!$U:$U, 0)), "")</f>
        <v/>
      </c>
      <c r="T27" s="22" t="str">
        <f aca="false" t="array" ref="T27:T27">IFERROR(INDEX(Pacientes!$Q:$Q, MATCH("Perdido|25", Pacientes!$U:$U, 0)), "")</f>
        <v/>
      </c>
      <c r="V27" s="22" t="str">
        <f aca="false" t="array" ref="V27:V27">IFERROR(INDEX(Pacientes!$A:$A, MATCH("Pendente|25", Pacientes!$U:$U, 0)), "")</f>
        <v/>
      </c>
      <c r="W27" s="22" t="str">
        <f aca="false" t="array" ref="W27:W27">IFERROR(INDEX(Pacientes!$S:$S, MATCH("Pendente|25", Pacientes!$U:$U, 0)), "")</f>
        <v/>
      </c>
      <c r="Y27" s="22" t="str">
        <f aca="false" t="array" ref="Y27:Y27">IFERROR(INDEX(Pacientes!$A:$A, MATCH("Não Precisa no Momento|25", Pacientes!$U:$U, 0)), "")</f>
        <v/>
      </c>
      <c r="Z27" s="22" t="str">
        <f aca="false" t="array" ref="Z27:Z27">IFERROR(INDEX(Pacientes!$S:$S, MATCH("Não Precisa no Momento|25", Pacientes!$U:$U, 0)), "")</f>
        <v/>
      </c>
    </row>
    <row r="28" customFormat="false" ht="15" hidden="false" customHeight="true" outlineLevel="0" collapsed="false">
      <c r="A28" s="22" t="str">
        <f aca="false" t="array" ref="A28:A28">IFERROR(INDEX(Pacientes!$A:$A, MATCH("Novo Paciente|26", Pacientes!$U:$U, 0)), "")</f>
        <v/>
      </c>
      <c r="B28" s="23" t="str">
        <f aca="false" t="array" ref="B28:B28">IFERROR(INDEX(Pacientes!$G:$G, MATCH("Novo Paciente|26", Pacientes!$U:$U, 0)), "")</f>
        <v/>
      </c>
      <c r="D28" s="22" t="str">
        <f aca="false" t="array" ref="D28:D28">IFERROR(INDEX(Pacientes!$A:$A, MATCH("Consulta Marcada|26", Pacientes!$U:$U, 0)), "")</f>
        <v/>
      </c>
      <c r="E28" s="23" t="str">
        <f aca="false" t="array" ref="E28:E28">IFERROR(INDEX(Pacientes!$I:$I, MATCH("Consulta Marcada|26", Pacientes!$U:$U, 0)), "")</f>
        <v/>
      </c>
      <c r="G28" s="22" t="str">
        <f aca="false" t="array" ref="G28:G28">IFERROR(INDEX(Pacientes!$A:$A, MATCH("Não Compareceu|26", Pacientes!$U:$U, 0)), "")</f>
        <v/>
      </c>
      <c r="H28" s="23" t="str">
        <f aca="false" t="array" ref="H28:H28">IFERROR(INDEX(Pacientes!$I:$I, MATCH("Não Compareceu|26", Pacientes!$U:$U, 0)), "")</f>
        <v/>
      </c>
      <c r="J28" s="22" t="str">
        <f aca="false" t="array" ref="J28:J28">IFERROR(INDEX(Pacientes!$A:$A, MATCH("Compareceu|26", Pacientes!$U:$U, 0)), "")</f>
        <v/>
      </c>
      <c r="K28" s="22" t="str">
        <f aca="false" t="array" ref="K28:K28">IFERROR(INDEX(Pacientes!$K:$K, MATCH("Compareceu|26", Pacientes!$U:$U, 0)), "")</f>
        <v/>
      </c>
      <c r="M28" s="22" t="str">
        <f aca="false" t="array" ref="M28:M28">IFERROR(INDEX(Pacientes!$A:$A, MATCH("Plano de Tratamento|26", Pacientes!$U:$U, 0)), "")</f>
        <v/>
      </c>
      <c r="N28" s="24" t="str">
        <f aca="false" t="array" ref="N28:N28">IFERROR(INDEX(Pacientes!$M:$M, MATCH("Plano de Tratamento|26", Pacientes!$U:$U, 0)), "")</f>
        <v/>
      </c>
      <c r="P28" s="22" t="str">
        <f aca="false" t="array" ref="P28:P28">IFERROR(INDEX(Pacientes!$A:$A, MATCH("Fechado|26", Pacientes!$X:$X, 0)), "")</f>
        <v/>
      </c>
      <c r="Q28" s="24" t="str">
        <f aca="false" t="array" ref="Q28:Q28">IFERROR(INDEX(Pacientes!$O:$O, MATCH("Fechado|26", Pacientes!$X:$X, 0)), "")</f>
        <v/>
      </c>
      <c r="S28" s="22" t="str">
        <f aca="false" t="array" ref="S28:S28">IFERROR(INDEX(Pacientes!$A:$A, MATCH("Perdido|26", Pacientes!$U:$U, 0)), "")</f>
        <v/>
      </c>
      <c r="T28" s="22" t="str">
        <f aca="false" t="array" ref="T28:T28">IFERROR(INDEX(Pacientes!$Q:$Q, MATCH("Perdido|26", Pacientes!$U:$U, 0)), "")</f>
        <v/>
      </c>
      <c r="V28" s="22" t="str">
        <f aca="false" t="array" ref="V28:V28">IFERROR(INDEX(Pacientes!$A:$A, MATCH("Pendente|26", Pacientes!$U:$U, 0)), "")</f>
        <v/>
      </c>
      <c r="W28" s="22" t="str">
        <f aca="false" t="array" ref="W28:W28">IFERROR(INDEX(Pacientes!$S:$S, MATCH("Pendente|26", Pacientes!$U:$U, 0)), "")</f>
        <v/>
      </c>
      <c r="Y28" s="22" t="str">
        <f aca="false" t="array" ref="Y28:Y28">IFERROR(INDEX(Pacientes!$A:$A, MATCH("Não Precisa no Momento|26", Pacientes!$U:$U, 0)), "")</f>
        <v/>
      </c>
      <c r="Z28" s="22" t="str">
        <f aca="false" t="array" ref="Z28:Z28">IFERROR(INDEX(Pacientes!$S:$S, MATCH("Não Precisa no Momento|26", Pacientes!$U:$U, 0)), "")</f>
        <v/>
      </c>
    </row>
    <row r="29" customFormat="false" ht="15" hidden="false" customHeight="true" outlineLevel="0" collapsed="false">
      <c r="A29" s="22" t="str">
        <f aca="false" t="array" ref="A29:A29">IFERROR(INDEX(Pacientes!$A:$A, MATCH("Novo Paciente|27", Pacientes!$U:$U, 0)), "")</f>
        <v/>
      </c>
      <c r="B29" s="23" t="str">
        <f aca="false" t="array" ref="B29:B29">IFERROR(INDEX(Pacientes!$G:$G, MATCH("Novo Paciente|27", Pacientes!$U:$U, 0)), "")</f>
        <v/>
      </c>
      <c r="D29" s="22" t="str">
        <f aca="false" t="array" ref="D29:D29">IFERROR(INDEX(Pacientes!$A:$A, MATCH("Consulta Marcada|27", Pacientes!$U:$U, 0)), "")</f>
        <v/>
      </c>
      <c r="E29" s="23" t="str">
        <f aca="false" t="array" ref="E29:E29">IFERROR(INDEX(Pacientes!$I:$I, MATCH("Consulta Marcada|27", Pacientes!$U:$U, 0)), "")</f>
        <v/>
      </c>
      <c r="G29" s="22" t="str">
        <f aca="false" t="array" ref="G29:G29">IFERROR(INDEX(Pacientes!$A:$A, MATCH("Não Compareceu|27", Pacientes!$U:$U, 0)), "")</f>
        <v/>
      </c>
      <c r="H29" s="23" t="str">
        <f aca="false" t="array" ref="H29:H29">IFERROR(INDEX(Pacientes!$I:$I, MATCH("Não Compareceu|27", Pacientes!$U:$U, 0)), "")</f>
        <v/>
      </c>
      <c r="J29" s="22" t="str">
        <f aca="false" t="array" ref="J29:J29">IFERROR(INDEX(Pacientes!$A:$A, MATCH("Compareceu|27", Pacientes!$U:$U, 0)), "")</f>
        <v/>
      </c>
      <c r="K29" s="22" t="str">
        <f aca="false" t="array" ref="K29:K29">IFERROR(INDEX(Pacientes!$K:$K, MATCH("Compareceu|27", Pacientes!$U:$U, 0)), "")</f>
        <v/>
      </c>
      <c r="M29" s="22" t="str">
        <f aca="false" t="array" ref="M29:M29">IFERROR(INDEX(Pacientes!$A:$A, MATCH("Plano de Tratamento|27", Pacientes!$U:$U, 0)), "")</f>
        <v/>
      </c>
      <c r="N29" s="24" t="str">
        <f aca="false" t="array" ref="N29:N29">IFERROR(INDEX(Pacientes!$M:$M, MATCH("Plano de Tratamento|27", Pacientes!$U:$U, 0)), "")</f>
        <v/>
      </c>
      <c r="P29" s="22" t="str">
        <f aca="false" t="array" ref="P29:P29">IFERROR(INDEX(Pacientes!$A:$A, MATCH("Fechado|27", Pacientes!$X:$X, 0)), "")</f>
        <v/>
      </c>
      <c r="Q29" s="24" t="str">
        <f aca="false" t="array" ref="Q29:Q29">IFERROR(INDEX(Pacientes!$O:$O, MATCH("Fechado|27", Pacientes!$X:$X, 0)), "")</f>
        <v/>
      </c>
      <c r="S29" s="22" t="str">
        <f aca="false" t="array" ref="S29:S29">IFERROR(INDEX(Pacientes!$A:$A, MATCH("Perdido|27", Pacientes!$U:$U, 0)), "")</f>
        <v/>
      </c>
      <c r="T29" s="22" t="str">
        <f aca="false" t="array" ref="T29:T29">IFERROR(INDEX(Pacientes!$Q:$Q, MATCH("Perdido|27", Pacientes!$U:$U, 0)), "")</f>
        <v/>
      </c>
      <c r="V29" s="22" t="str">
        <f aca="false" t="array" ref="V29:V29">IFERROR(INDEX(Pacientes!$A:$A, MATCH("Pendente|27", Pacientes!$U:$U, 0)), "")</f>
        <v/>
      </c>
      <c r="W29" s="22" t="str">
        <f aca="false" t="array" ref="W29:W29">IFERROR(INDEX(Pacientes!$S:$S, MATCH("Pendente|27", Pacientes!$U:$U, 0)), "")</f>
        <v/>
      </c>
      <c r="Y29" s="22" t="str">
        <f aca="false" t="array" ref="Y29:Y29">IFERROR(INDEX(Pacientes!$A:$A, MATCH("Não Precisa no Momento|27", Pacientes!$U:$U, 0)), "")</f>
        <v/>
      </c>
      <c r="Z29" s="22" t="str">
        <f aca="false" t="array" ref="Z29:Z29">IFERROR(INDEX(Pacientes!$S:$S, MATCH("Não Precisa no Momento|27", Pacientes!$U:$U, 0)), "")</f>
        <v/>
      </c>
    </row>
    <row r="30" customFormat="false" ht="15" hidden="false" customHeight="true" outlineLevel="0" collapsed="false">
      <c r="A30" s="22" t="str">
        <f aca="false" t="array" ref="A30:A30">IFERROR(INDEX(Pacientes!$A:$A, MATCH("Novo Paciente|28", Pacientes!$U:$U, 0)), "")</f>
        <v/>
      </c>
      <c r="B30" s="23" t="str">
        <f aca="false" t="array" ref="B30:B30">IFERROR(INDEX(Pacientes!$G:$G, MATCH("Novo Paciente|28", Pacientes!$U:$U, 0)), "")</f>
        <v/>
      </c>
      <c r="D30" s="22" t="str">
        <f aca="false" t="array" ref="D30:D30">IFERROR(INDEX(Pacientes!$A:$A, MATCH("Consulta Marcada|28", Pacientes!$U:$U, 0)), "")</f>
        <v/>
      </c>
      <c r="E30" s="23" t="str">
        <f aca="false" t="array" ref="E30:E30">IFERROR(INDEX(Pacientes!$I:$I, MATCH("Consulta Marcada|28", Pacientes!$U:$U, 0)), "")</f>
        <v/>
      </c>
      <c r="G30" s="22" t="str">
        <f aca="false" t="array" ref="G30:G30">IFERROR(INDEX(Pacientes!$A:$A, MATCH("Não Compareceu|28", Pacientes!$U:$U, 0)), "")</f>
        <v/>
      </c>
      <c r="H30" s="23" t="str">
        <f aca="false" t="array" ref="H30:H30">IFERROR(INDEX(Pacientes!$I:$I, MATCH("Não Compareceu|28", Pacientes!$U:$U, 0)), "")</f>
        <v/>
      </c>
      <c r="J30" s="22" t="str">
        <f aca="false" t="array" ref="J30:J30">IFERROR(INDEX(Pacientes!$A:$A, MATCH("Compareceu|28", Pacientes!$U:$U, 0)), "")</f>
        <v/>
      </c>
      <c r="K30" s="22" t="str">
        <f aca="false" t="array" ref="K30:K30">IFERROR(INDEX(Pacientes!$K:$K, MATCH("Compareceu|28", Pacientes!$U:$U, 0)), "")</f>
        <v/>
      </c>
      <c r="M30" s="22" t="str">
        <f aca="false" t="array" ref="M30:M30">IFERROR(INDEX(Pacientes!$A:$A, MATCH("Plano de Tratamento|28", Pacientes!$U:$U, 0)), "")</f>
        <v/>
      </c>
      <c r="N30" s="24" t="str">
        <f aca="false" t="array" ref="N30:N30">IFERROR(INDEX(Pacientes!$M:$M, MATCH("Plano de Tratamento|28", Pacientes!$U:$U, 0)), "")</f>
        <v/>
      </c>
      <c r="P30" s="22" t="str">
        <f aca="false" t="array" ref="P30:P30">IFERROR(INDEX(Pacientes!$A:$A, MATCH("Fechado|28", Pacientes!$X:$X, 0)), "")</f>
        <v/>
      </c>
      <c r="Q30" s="24" t="str">
        <f aca="false" t="array" ref="Q30:Q30">IFERROR(INDEX(Pacientes!$O:$O, MATCH("Fechado|28", Pacientes!$X:$X, 0)), "")</f>
        <v/>
      </c>
      <c r="S30" s="22" t="str">
        <f aca="false" t="array" ref="S30:S30">IFERROR(INDEX(Pacientes!$A:$A, MATCH("Perdido|28", Pacientes!$U:$U, 0)), "")</f>
        <v/>
      </c>
      <c r="T30" s="22" t="str">
        <f aca="false" t="array" ref="T30:T30">IFERROR(INDEX(Pacientes!$Q:$Q, MATCH("Perdido|28", Pacientes!$U:$U, 0)), "")</f>
        <v/>
      </c>
      <c r="V30" s="22" t="str">
        <f aca="false" t="array" ref="V30:V30">IFERROR(INDEX(Pacientes!$A:$A, MATCH("Pendente|28", Pacientes!$U:$U, 0)), "")</f>
        <v/>
      </c>
      <c r="W30" s="22" t="str">
        <f aca="false" t="array" ref="W30:W30">IFERROR(INDEX(Pacientes!$S:$S, MATCH("Pendente|28", Pacientes!$U:$U, 0)), "")</f>
        <v/>
      </c>
      <c r="Y30" s="22" t="str">
        <f aca="false" t="array" ref="Y30:Y30">IFERROR(INDEX(Pacientes!$A:$A, MATCH("Não Precisa no Momento|28", Pacientes!$U:$U, 0)), "")</f>
        <v/>
      </c>
      <c r="Z30" s="22" t="str">
        <f aca="false" t="array" ref="Z30:Z30">IFERROR(INDEX(Pacientes!$S:$S, MATCH("Não Precisa no Momento|28", Pacientes!$U:$U, 0)), "")</f>
        <v/>
      </c>
    </row>
    <row r="31" customFormat="false" ht="15" hidden="false" customHeight="true" outlineLevel="0" collapsed="false">
      <c r="A31" s="22" t="str">
        <f aca="false" t="array" ref="A31:A31">IFERROR(INDEX(Pacientes!$A:$A, MATCH("Novo Paciente|29", Pacientes!$U:$U, 0)), "")</f>
        <v/>
      </c>
      <c r="B31" s="23" t="str">
        <f aca="false" t="array" ref="B31:B31">IFERROR(INDEX(Pacientes!$G:$G, MATCH("Novo Paciente|29", Pacientes!$U:$U, 0)), "")</f>
        <v/>
      </c>
      <c r="D31" s="22" t="str">
        <f aca="false" t="array" ref="D31:D31">IFERROR(INDEX(Pacientes!$A:$A, MATCH("Consulta Marcada|29", Pacientes!$U:$U, 0)), "")</f>
        <v/>
      </c>
      <c r="E31" s="23" t="str">
        <f aca="false" t="array" ref="E31:E31">IFERROR(INDEX(Pacientes!$I:$I, MATCH("Consulta Marcada|29", Pacientes!$U:$U, 0)), "")</f>
        <v/>
      </c>
      <c r="G31" s="22" t="str">
        <f aca="false" t="array" ref="G31:G31">IFERROR(INDEX(Pacientes!$A:$A, MATCH("Não Compareceu|29", Pacientes!$U:$U, 0)), "")</f>
        <v/>
      </c>
      <c r="H31" s="23" t="str">
        <f aca="false" t="array" ref="H31:H31">IFERROR(INDEX(Pacientes!$I:$I, MATCH("Não Compareceu|29", Pacientes!$U:$U, 0)), "")</f>
        <v/>
      </c>
      <c r="J31" s="22" t="str">
        <f aca="false" t="array" ref="J31:J31">IFERROR(INDEX(Pacientes!$A:$A, MATCH("Compareceu|29", Pacientes!$U:$U, 0)), "")</f>
        <v/>
      </c>
      <c r="K31" s="22" t="str">
        <f aca="false" t="array" ref="K31:K31">IFERROR(INDEX(Pacientes!$K:$K, MATCH("Compareceu|29", Pacientes!$U:$U, 0)), "")</f>
        <v/>
      </c>
      <c r="M31" s="22" t="str">
        <f aca="false" t="array" ref="M31:M31">IFERROR(INDEX(Pacientes!$A:$A, MATCH("Plano de Tratamento|29", Pacientes!$U:$U, 0)), "")</f>
        <v/>
      </c>
      <c r="N31" s="24" t="str">
        <f aca="false" t="array" ref="N31:N31">IFERROR(INDEX(Pacientes!$M:$M, MATCH("Plano de Tratamento|29", Pacientes!$U:$U, 0)), "")</f>
        <v/>
      </c>
      <c r="P31" s="22" t="str">
        <f aca="false" t="array" ref="P31:P31">IFERROR(INDEX(Pacientes!$A:$A, MATCH("Fechado|29", Pacientes!$X:$X, 0)), "")</f>
        <v/>
      </c>
      <c r="Q31" s="24" t="str">
        <f aca="false" t="array" ref="Q31:Q31">IFERROR(INDEX(Pacientes!$O:$O, MATCH("Fechado|29", Pacientes!$X:$X, 0)), "")</f>
        <v/>
      </c>
      <c r="S31" s="22" t="str">
        <f aca="false" t="array" ref="S31:S31">IFERROR(INDEX(Pacientes!$A:$A, MATCH("Perdido|29", Pacientes!$U:$U, 0)), "")</f>
        <v/>
      </c>
      <c r="T31" s="22" t="str">
        <f aca="false" t="array" ref="T31:T31">IFERROR(INDEX(Pacientes!$Q:$Q, MATCH("Perdido|29", Pacientes!$U:$U, 0)), "")</f>
        <v/>
      </c>
      <c r="V31" s="22" t="str">
        <f aca="false" t="array" ref="V31:V31">IFERROR(INDEX(Pacientes!$A:$A, MATCH("Pendente|29", Pacientes!$U:$U, 0)), "")</f>
        <v/>
      </c>
      <c r="W31" s="22" t="str">
        <f aca="false" t="array" ref="W31:W31">IFERROR(INDEX(Pacientes!$S:$S, MATCH("Pendente|29", Pacientes!$U:$U, 0)), "")</f>
        <v/>
      </c>
      <c r="Y31" s="22" t="str">
        <f aca="false" t="array" ref="Y31:Y31">IFERROR(INDEX(Pacientes!$A:$A, MATCH("Não Precisa no Momento|29", Pacientes!$U:$U, 0)), "")</f>
        <v/>
      </c>
      <c r="Z31" s="22" t="str">
        <f aca="false" t="array" ref="Z31:Z31">IFERROR(INDEX(Pacientes!$S:$S, MATCH("Não Precisa no Momento|29", Pacientes!$U:$U, 0)), "")</f>
        <v/>
      </c>
    </row>
    <row r="32" customFormat="false" ht="15" hidden="false" customHeight="true" outlineLevel="0" collapsed="false">
      <c r="A32" s="22" t="str">
        <f aca="false" t="array" ref="A32:A32">IFERROR(INDEX(Pacientes!$A:$A, MATCH("Novo Paciente|30", Pacientes!$U:$U, 0)), "")</f>
        <v/>
      </c>
      <c r="B32" s="23" t="str">
        <f aca="false" t="array" ref="B32:B32">IFERROR(INDEX(Pacientes!$G:$G, MATCH("Novo Paciente|30", Pacientes!$U:$U, 0)), "")</f>
        <v/>
      </c>
      <c r="D32" s="22" t="str">
        <f aca="false" t="array" ref="D32:D32">IFERROR(INDEX(Pacientes!$A:$A, MATCH("Consulta Marcada|30", Pacientes!$U:$U, 0)), "")</f>
        <v/>
      </c>
      <c r="E32" s="23" t="str">
        <f aca="false" t="array" ref="E32:E32">IFERROR(INDEX(Pacientes!$I:$I, MATCH("Consulta Marcada|30", Pacientes!$U:$U, 0)), "")</f>
        <v/>
      </c>
      <c r="G32" s="22" t="str">
        <f aca="false" t="array" ref="G32:G32">IFERROR(INDEX(Pacientes!$A:$A, MATCH("Não Compareceu|30", Pacientes!$U:$U, 0)), "")</f>
        <v/>
      </c>
      <c r="H32" s="23" t="str">
        <f aca="false" t="array" ref="H32:H32">IFERROR(INDEX(Pacientes!$I:$I, MATCH("Não Compareceu|30", Pacientes!$U:$U, 0)), "")</f>
        <v/>
      </c>
      <c r="J32" s="22" t="str">
        <f aca="false" t="array" ref="J32:J32">IFERROR(INDEX(Pacientes!$A:$A, MATCH("Compareceu|30", Pacientes!$U:$U, 0)), "")</f>
        <v/>
      </c>
      <c r="K32" s="22" t="str">
        <f aca="false" t="array" ref="K32:K32">IFERROR(INDEX(Pacientes!$K:$K, MATCH("Compareceu|30", Pacientes!$U:$U, 0)), "")</f>
        <v/>
      </c>
      <c r="M32" s="22" t="str">
        <f aca="false" t="array" ref="M32:M32">IFERROR(INDEX(Pacientes!$A:$A, MATCH("Plano de Tratamento|30", Pacientes!$U:$U, 0)), "")</f>
        <v/>
      </c>
      <c r="N32" s="24" t="str">
        <f aca="false" t="array" ref="N32:N32">IFERROR(INDEX(Pacientes!$M:$M, MATCH("Plano de Tratamento|30", Pacientes!$U:$U, 0)), "")</f>
        <v/>
      </c>
      <c r="P32" s="22" t="str">
        <f aca="false" t="array" ref="P32:P32">IFERROR(INDEX(Pacientes!$A:$A, MATCH("Fechado|30", Pacientes!$X:$X, 0)), "")</f>
        <v/>
      </c>
      <c r="Q32" s="24" t="str">
        <f aca="false" t="array" ref="Q32:Q32">IFERROR(INDEX(Pacientes!$O:$O, MATCH("Fechado|30", Pacientes!$X:$X, 0)), "")</f>
        <v/>
      </c>
      <c r="S32" s="22" t="str">
        <f aca="false" t="array" ref="S32:S32">IFERROR(INDEX(Pacientes!$A:$A, MATCH("Perdido|30", Pacientes!$U:$U, 0)), "")</f>
        <v/>
      </c>
      <c r="T32" s="22" t="str">
        <f aca="false" t="array" ref="T32:T32">IFERROR(INDEX(Pacientes!$Q:$Q, MATCH("Perdido|30", Pacientes!$U:$U, 0)), "")</f>
        <v/>
      </c>
      <c r="V32" s="22" t="str">
        <f aca="false" t="array" ref="V32:V32">IFERROR(INDEX(Pacientes!$A:$A, MATCH("Pendente|30", Pacientes!$U:$U, 0)), "")</f>
        <v/>
      </c>
      <c r="W32" s="22" t="str">
        <f aca="false" t="array" ref="W32:W32">IFERROR(INDEX(Pacientes!$S:$S, MATCH("Pendente|30", Pacientes!$U:$U, 0)), "")</f>
        <v/>
      </c>
      <c r="Y32" s="22" t="str">
        <f aca="false" t="array" ref="Y32:Y32">IFERROR(INDEX(Pacientes!$A:$A, MATCH("Não Precisa no Momento|30", Pacientes!$U:$U, 0)), "")</f>
        <v/>
      </c>
      <c r="Z32" s="22" t="str">
        <f aca="false" t="array" ref="Z32:Z32">IFERROR(INDEX(Pacientes!$S:$S, MATCH("Não Precisa no Momento|30", Pacientes!$U:$U, 0)), "")</f>
        <v/>
      </c>
    </row>
    <row r="33" customFormat="false" ht="15" hidden="false" customHeight="true" outlineLevel="0" collapsed="false">
      <c r="A33" s="22" t="str">
        <f aca="false" t="array" ref="A33:A33">IFERROR(INDEX(Pacientes!$A:$A, MATCH("Novo Paciente|31", Pacientes!$U:$U, 0)), "")</f>
        <v/>
      </c>
      <c r="B33" s="23" t="str">
        <f aca="false" t="array" ref="B33:B33">IFERROR(INDEX(Pacientes!$G:$G, MATCH("Novo Paciente|31", Pacientes!$U:$U, 0)), "")</f>
        <v/>
      </c>
      <c r="D33" s="22" t="str">
        <f aca="false" t="array" ref="D33:D33">IFERROR(INDEX(Pacientes!$A:$A, MATCH("Consulta Marcada|31", Pacientes!$U:$U, 0)), "")</f>
        <v/>
      </c>
      <c r="E33" s="23" t="str">
        <f aca="false" t="array" ref="E33:E33">IFERROR(INDEX(Pacientes!$I:$I, MATCH("Consulta Marcada|31", Pacientes!$U:$U, 0)), "")</f>
        <v/>
      </c>
      <c r="G33" s="22" t="str">
        <f aca="false" t="array" ref="G33:G33">IFERROR(INDEX(Pacientes!$A:$A, MATCH("Não Compareceu|31", Pacientes!$U:$U, 0)), "")</f>
        <v/>
      </c>
      <c r="H33" s="23" t="str">
        <f aca="false" t="array" ref="H33:H33">IFERROR(INDEX(Pacientes!$I:$I, MATCH("Não Compareceu|31", Pacientes!$U:$U, 0)), "")</f>
        <v/>
      </c>
      <c r="J33" s="22" t="str">
        <f aca="false" t="array" ref="J33:J33">IFERROR(INDEX(Pacientes!$A:$A, MATCH("Compareceu|31", Pacientes!$U:$U, 0)), "")</f>
        <v/>
      </c>
      <c r="K33" s="22" t="str">
        <f aca="false" t="array" ref="K33:K33">IFERROR(INDEX(Pacientes!$K:$K, MATCH("Compareceu|31", Pacientes!$U:$U, 0)), "")</f>
        <v/>
      </c>
      <c r="M33" s="22" t="str">
        <f aca="false" t="array" ref="M33:M33">IFERROR(INDEX(Pacientes!$A:$A, MATCH("Plano de Tratamento|31", Pacientes!$U:$U, 0)), "")</f>
        <v/>
      </c>
      <c r="N33" s="24" t="str">
        <f aca="false" t="array" ref="N33:N33">IFERROR(INDEX(Pacientes!$M:$M, MATCH("Plano de Tratamento|31", Pacientes!$U:$U, 0)), "")</f>
        <v/>
      </c>
      <c r="P33" s="22" t="str">
        <f aca="false" t="array" ref="P33:P33">IFERROR(INDEX(Pacientes!$A:$A, MATCH("Fechado|31", Pacientes!$X:$X, 0)), "")</f>
        <v/>
      </c>
      <c r="Q33" s="24" t="str">
        <f aca="false" t="array" ref="Q33:Q33">IFERROR(INDEX(Pacientes!$O:$O, MATCH("Fechado|31", Pacientes!$X:$X, 0)), "")</f>
        <v/>
      </c>
      <c r="S33" s="22" t="str">
        <f aca="false" t="array" ref="S33:S33">IFERROR(INDEX(Pacientes!$A:$A, MATCH("Perdido|31", Pacientes!$U:$U, 0)), "")</f>
        <v/>
      </c>
      <c r="T33" s="22" t="str">
        <f aca="false" t="array" ref="T33:T33">IFERROR(INDEX(Pacientes!$Q:$Q, MATCH("Perdido|31", Pacientes!$U:$U, 0)), "")</f>
        <v/>
      </c>
      <c r="V33" s="22" t="str">
        <f aca="false" t="array" ref="V33:V33">IFERROR(INDEX(Pacientes!$A:$A, MATCH("Pendente|31", Pacientes!$U:$U, 0)), "")</f>
        <v/>
      </c>
      <c r="W33" s="22" t="str">
        <f aca="false" t="array" ref="W33:W33">IFERROR(INDEX(Pacientes!$S:$S, MATCH("Pendente|31", Pacientes!$U:$U, 0)), "")</f>
        <v/>
      </c>
      <c r="Y33" s="22" t="str">
        <f aca="false" t="array" ref="Y33:Y33">IFERROR(INDEX(Pacientes!$A:$A, MATCH("Não Precisa no Momento|31", Pacientes!$U:$U, 0)), "")</f>
        <v/>
      </c>
      <c r="Z33" s="22" t="str">
        <f aca="false" t="array" ref="Z33:Z33">IFERROR(INDEX(Pacientes!$S:$S, MATCH("Não Precisa no Momento|31", Pacientes!$U:$U, 0)), "")</f>
        <v/>
      </c>
    </row>
    <row r="34" customFormat="false" ht="15" hidden="false" customHeight="true" outlineLevel="0" collapsed="false">
      <c r="A34" s="22" t="str">
        <f aca="false" t="array" ref="A34:A34">IFERROR(INDEX(Pacientes!$A:$A, MATCH("Novo Paciente|32", Pacientes!$U:$U, 0)), "")</f>
        <v/>
      </c>
      <c r="B34" s="23" t="str">
        <f aca="false" t="array" ref="B34:B34">IFERROR(INDEX(Pacientes!$G:$G, MATCH("Novo Paciente|32", Pacientes!$U:$U, 0)), "")</f>
        <v/>
      </c>
      <c r="D34" s="22" t="str">
        <f aca="false" t="array" ref="D34:D34">IFERROR(INDEX(Pacientes!$A:$A, MATCH("Consulta Marcada|32", Pacientes!$U:$U, 0)), "")</f>
        <v/>
      </c>
      <c r="E34" s="23" t="str">
        <f aca="false" t="array" ref="E34:E34">IFERROR(INDEX(Pacientes!$I:$I, MATCH("Consulta Marcada|32", Pacientes!$U:$U, 0)), "")</f>
        <v/>
      </c>
      <c r="G34" s="22" t="str">
        <f aca="false" t="array" ref="G34:G34">IFERROR(INDEX(Pacientes!$A:$A, MATCH("Não Compareceu|32", Pacientes!$U:$U, 0)), "")</f>
        <v/>
      </c>
      <c r="H34" s="23" t="str">
        <f aca="false" t="array" ref="H34:H34">IFERROR(INDEX(Pacientes!$I:$I, MATCH("Não Compareceu|32", Pacientes!$U:$U, 0)), "")</f>
        <v/>
      </c>
      <c r="J34" s="22" t="str">
        <f aca="false" t="array" ref="J34:J34">IFERROR(INDEX(Pacientes!$A:$A, MATCH("Compareceu|32", Pacientes!$U:$U, 0)), "")</f>
        <v/>
      </c>
      <c r="K34" s="22" t="str">
        <f aca="false" t="array" ref="K34:K34">IFERROR(INDEX(Pacientes!$K:$K, MATCH("Compareceu|32", Pacientes!$U:$U, 0)), "")</f>
        <v/>
      </c>
      <c r="M34" s="22" t="str">
        <f aca="false" t="array" ref="M34:M34">IFERROR(INDEX(Pacientes!$A:$A, MATCH("Plano de Tratamento|32", Pacientes!$U:$U, 0)), "")</f>
        <v/>
      </c>
      <c r="N34" s="24" t="str">
        <f aca="false" t="array" ref="N34:N34">IFERROR(INDEX(Pacientes!$M:$M, MATCH("Plano de Tratamento|32", Pacientes!$U:$U, 0)), "")</f>
        <v/>
      </c>
      <c r="P34" s="22" t="str">
        <f aca="false" t="array" ref="P34:P34">IFERROR(INDEX(Pacientes!$A:$A, MATCH("Fechado|32", Pacientes!$X:$X, 0)), "")</f>
        <v/>
      </c>
      <c r="Q34" s="24" t="str">
        <f aca="false" t="array" ref="Q34:Q34">IFERROR(INDEX(Pacientes!$O:$O, MATCH("Fechado|32", Pacientes!$X:$X, 0)), "")</f>
        <v/>
      </c>
      <c r="S34" s="22" t="str">
        <f aca="false" t="array" ref="S34:S34">IFERROR(INDEX(Pacientes!$A:$A, MATCH("Perdido|32", Pacientes!$U:$U, 0)), "")</f>
        <v/>
      </c>
      <c r="T34" s="22" t="str">
        <f aca="false" t="array" ref="T34:T34">IFERROR(INDEX(Pacientes!$Q:$Q, MATCH("Perdido|32", Pacientes!$U:$U, 0)), "")</f>
        <v/>
      </c>
      <c r="V34" s="22" t="str">
        <f aca="false" t="array" ref="V34:V34">IFERROR(INDEX(Pacientes!$A:$A, MATCH("Pendente|32", Pacientes!$U:$U, 0)), "")</f>
        <v/>
      </c>
      <c r="W34" s="22" t="str">
        <f aca="false" t="array" ref="W34:W34">IFERROR(INDEX(Pacientes!$S:$S, MATCH("Pendente|32", Pacientes!$U:$U, 0)), "")</f>
        <v/>
      </c>
      <c r="Y34" s="22" t="str">
        <f aca="false" t="array" ref="Y34:Y34">IFERROR(INDEX(Pacientes!$A:$A, MATCH("Não Precisa no Momento|32", Pacientes!$U:$U, 0)), "")</f>
        <v/>
      </c>
      <c r="Z34" s="22" t="str">
        <f aca="false" t="array" ref="Z34:Z34">IFERROR(INDEX(Pacientes!$S:$S, MATCH("Não Precisa no Momento|32", Pacientes!$U:$U, 0)), "")</f>
        <v/>
      </c>
    </row>
    <row r="35" customFormat="false" ht="15" hidden="false" customHeight="true" outlineLevel="0" collapsed="false">
      <c r="A35" s="22" t="str">
        <f aca="false" t="array" ref="A35:A35">IFERROR(INDEX(Pacientes!$A:$A, MATCH("Novo Paciente|33", Pacientes!$U:$U, 0)), "")</f>
        <v/>
      </c>
      <c r="B35" s="23" t="str">
        <f aca="false" t="array" ref="B35:B35">IFERROR(INDEX(Pacientes!$G:$G, MATCH("Novo Paciente|33", Pacientes!$U:$U, 0)), "")</f>
        <v/>
      </c>
      <c r="D35" s="22" t="str">
        <f aca="false" t="array" ref="D35:D35">IFERROR(INDEX(Pacientes!$A:$A, MATCH("Consulta Marcada|33", Pacientes!$U:$U, 0)), "")</f>
        <v/>
      </c>
      <c r="E35" s="23" t="str">
        <f aca="false" t="array" ref="E35:E35">IFERROR(INDEX(Pacientes!$I:$I, MATCH("Consulta Marcada|33", Pacientes!$U:$U, 0)), "")</f>
        <v/>
      </c>
      <c r="G35" s="22" t="str">
        <f aca="false" t="array" ref="G35:G35">IFERROR(INDEX(Pacientes!$A:$A, MATCH("Não Compareceu|33", Pacientes!$U:$U, 0)), "")</f>
        <v/>
      </c>
      <c r="H35" s="23" t="str">
        <f aca="false" t="array" ref="H35:H35">IFERROR(INDEX(Pacientes!$I:$I, MATCH("Não Compareceu|33", Pacientes!$U:$U, 0)), "")</f>
        <v/>
      </c>
      <c r="J35" s="22" t="str">
        <f aca="false" t="array" ref="J35:J35">IFERROR(INDEX(Pacientes!$A:$A, MATCH("Compareceu|33", Pacientes!$U:$U, 0)), "")</f>
        <v/>
      </c>
      <c r="K35" s="22" t="str">
        <f aca="false" t="array" ref="K35:K35">IFERROR(INDEX(Pacientes!$K:$K, MATCH("Compareceu|33", Pacientes!$U:$U, 0)), "")</f>
        <v/>
      </c>
      <c r="M35" s="22" t="str">
        <f aca="false" t="array" ref="M35:M35">IFERROR(INDEX(Pacientes!$A:$A, MATCH("Plano de Tratamento|33", Pacientes!$U:$U, 0)), "")</f>
        <v/>
      </c>
      <c r="N35" s="24" t="str">
        <f aca="false" t="array" ref="N35:N35">IFERROR(INDEX(Pacientes!$M:$M, MATCH("Plano de Tratamento|33", Pacientes!$U:$U, 0)), "")</f>
        <v/>
      </c>
      <c r="P35" s="22" t="str">
        <f aca="false" t="array" ref="P35:P35">IFERROR(INDEX(Pacientes!$A:$A, MATCH("Fechado|33", Pacientes!$X:$X, 0)), "")</f>
        <v/>
      </c>
      <c r="Q35" s="24" t="str">
        <f aca="false" t="array" ref="Q35:Q35">IFERROR(INDEX(Pacientes!$O:$O, MATCH("Fechado|33", Pacientes!$X:$X, 0)), "")</f>
        <v/>
      </c>
      <c r="S35" s="22" t="str">
        <f aca="false" t="array" ref="S35:S35">IFERROR(INDEX(Pacientes!$A:$A, MATCH("Perdido|33", Pacientes!$U:$U, 0)), "")</f>
        <v/>
      </c>
      <c r="T35" s="22" t="str">
        <f aca="false" t="array" ref="T35:T35">IFERROR(INDEX(Pacientes!$Q:$Q, MATCH("Perdido|33", Pacientes!$U:$U, 0)), "")</f>
        <v/>
      </c>
      <c r="V35" s="22" t="str">
        <f aca="false" t="array" ref="V35:V35">IFERROR(INDEX(Pacientes!$A:$A, MATCH("Pendente|33", Pacientes!$U:$U, 0)), "")</f>
        <v/>
      </c>
      <c r="W35" s="22" t="str">
        <f aca="false" t="array" ref="W35:W35">IFERROR(INDEX(Pacientes!$S:$S, MATCH("Pendente|33", Pacientes!$U:$U, 0)), "")</f>
        <v/>
      </c>
      <c r="Y35" s="22" t="str">
        <f aca="false" t="array" ref="Y35:Y35">IFERROR(INDEX(Pacientes!$A:$A, MATCH("Não Precisa no Momento|33", Pacientes!$U:$U, 0)), "")</f>
        <v/>
      </c>
      <c r="Z35" s="22" t="str">
        <f aca="false" t="array" ref="Z35:Z35">IFERROR(INDEX(Pacientes!$S:$S, MATCH("Não Precisa no Momento|33", Pacientes!$U:$U, 0)), "")</f>
        <v/>
      </c>
    </row>
    <row r="36" customFormat="false" ht="15" hidden="false" customHeight="true" outlineLevel="0" collapsed="false">
      <c r="A36" s="22" t="str">
        <f aca="false" t="array" ref="A36:A36">IFERROR(INDEX(Pacientes!$A:$A, MATCH("Novo Paciente|34", Pacientes!$U:$U, 0)), "")</f>
        <v/>
      </c>
      <c r="B36" s="23" t="str">
        <f aca="false" t="array" ref="B36:B36">IFERROR(INDEX(Pacientes!$G:$G, MATCH("Novo Paciente|34", Pacientes!$U:$U, 0)), "")</f>
        <v/>
      </c>
      <c r="D36" s="22" t="str">
        <f aca="false" t="array" ref="D36:D36">IFERROR(INDEX(Pacientes!$A:$A, MATCH("Consulta Marcada|34", Pacientes!$U:$U, 0)), "")</f>
        <v/>
      </c>
      <c r="E36" s="23" t="str">
        <f aca="false" t="array" ref="E36:E36">IFERROR(INDEX(Pacientes!$I:$I, MATCH("Consulta Marcada|34", Pacientes!$U:$U, 0)), "")</f>
        <v/>
      </c>
      <c r="G36" s="22" t="str">
        <f aca="false" t="array" ref="G36:G36">IFERROR(INDEX(Pacientes!$A:$A, MATCH("Não Compareceu|34", Pacientes!$U:$U, 0)), "")</f>
        <v/>
      </c>
      <c r="H36" s="23" t="str">
        <f aca="false" t="array" ref="H36:H36">IFERROR(INDEX(Pacientes!$I:$I, MATCH("Não Compareceu|34", Pacientes!$U:$U, 0)), "")</f>
        <v/>
      </c>
      <c r="J36" s="22" t="str">
        <f aca="false" t="array" ref="J36:J36">IFERROR(INDEX(Pacientes!$A:$A, MATCH("Compareceu|34", Pacientes!$U:$U, 0)), "")</f>
        <v/>
      </c>
      <c r="K36" s="22" t="str">
        <f aca="false" t="array" ref="K36:K36">IFERROR(INDEX(Pacientes!$K:$K, MATCH("Compareceu|34", Pacientes!$U:$U, 0)), "")</f>
        <v/>
      </c>
      <c r="M36" s="22" t="str">
        <f aca="false" t="array" ref="M36:M36">IFERROR(INDEX(Pacientes!$A:$A, MATCH("Plano de Tratamento|34", Pacientes!$U:$U, 0)), "")</f>
        <v/>
      </c>
      <c r="N36" s="24" t="str">
        <f aca="false" t="array" ref="N36:N36">IFERROR(INDEX(Pacientes!$M:$M, MATCH("Plano de Tratamento|34", Pacientes!$U:$U, 0)), "")</f>
        <v/>
      </c>
      <c r="P36" s="22" t="str">
        <f aca="false" t="array" ref="P36:P36">IFERROR(INDEX(Pacientes!$A:$A, MATCH("Fechado|34", Pacientes!$X:$X, 0)), "")</f>
        <v/>
      </c>
      <c r="Q36" s="24" t="str">
        <f aca="false" t="array" ref="Q36:Q36">IFERROR(INDEX(Pacientes!$O:$O, MATCH("Fechado|34", Pacientes!$X:$X, 0)), "")</f>
        <v/>
      </c>
      <c r="S36" s="22" t="str">
        <f aca="false" t="array" ref="S36:S36">IFERROR(INDEX(Pacientes!$A:$A, MATCH("Perdido|34", Pacientes!$U:$U, 0)), "")</f>
        <v/>
      </c>
      <c r="T36" s="22" t="str">
        <f aca="false" t="array" ref="T36:T36">IFERROR(INDEX(Pacientes!$Q:$Q, MATCH("Perdido|34", Pacientes!$U:$U, 0)), "")</f>
        <v/>
      </c>
      <c r="V36" s="22" t="str">
        <f aca="false" t="array" ref="V36:V36">IFERROR(INDEX(Pacientes!$A:$A, MATCH("Pendente|34", Pacientes!$U:$U, 0)), "")</f>
        <v/>
      </c>
      <c r="W36" s="22" t="str">
        <f aca="false" t="array" ref="W36:W36">IFERROR(INDEX(Pacientes!$S:$S, MATCH("Pendente|34", Pacientes!$U:$U, 0)), "")</f>
        <v/>
      </c>
      <c r="Y36" s="22" t="str">
        <f aca="false" t="array" ref="Y36:Y36">IFERROR(INDEX(Pacientes!$A:$A, MATCH("Não Precisa no Momento|34", Pacientes!$U:$U, 0)), "")</f>
        <v/>
      </c>
      <c r="Z36" s="22" t="str">
        <f aca="false" t="array" ref="Z36:Z36">IFERROR(INDEX(Pacientes!$S:$S, MATCH("Não Precisa no Momento|34", Pacientes!$U:$U, 0)), "")</f>
        <v/>
      </c>
    </row>
    <row r="37" customFormat="false" ht="15" hidden="false" customHeight="true" outlineLevel="0" collapsed="false">
      <c r="A37" s="22" t="str">
        <f aca="false" t="array" ref="A37:A37">IFERROR(INDEX(Pacientes!$A:$A, MATCH("Novo Paciente|35", Pacientes!$U:$U, 0)), "")</f>
        <v/>
      </c>
      <c r="B37" s="23" t="str">
        <f aca="false" t="array" ref="B37:B37">IFERROR(INDEX(Pacientes!$G:$G, MATCH("Novo Paciente|35", Pacientes!$U:$U, 0)), "")</f>
        <v/>
      </c>
      <c r="D37" s="22" t="str">
        <f aca="false" t="array" ref="D37:D37">IFERROR(INDEX(Pacientes!$A:$A, MATCH("Consulta Marcada|35", Pacientes!$U:$U, 0)), "")</f>
        <v/>
      </c>
      <c r="E37" s="23" t="str">
        <f aca="false" t="array" ref="E37:E37">IFERROR(INDEX(Pacientes!$I:$I, MATCH("Consulta Marcada|35", Pacientes!$U:$U, 0)), "")</f>
        <v/>
      </c>
      <c r="G37" s="22" t="str">
        <f aca="false" t="array" ref="G37:G37">IFERROR(INDEX(Pacientes!$A:$A, MATCH("Não Compareceu|35", Pacientes!$U:$U, 0)), "")</f>
        <v/>
      </c>
      <c r="H37" s="23" t="str">
        <f aca="false" t="array" ref="H37:H37">IFERROR(INDEX(Pacientes!$I:$I, MATCH("Não Compareceu|35", Pacientes!$U:$U, 0)), "")</f>
        <v/>
      </c>
      <c r="J37" s="22" t="str">
        <f aca="false" t="array" ref="J37:J37">IFERROR(INDEX(Pacientes!$A:$A, MATCH("Compareceu|35", Pacientes!$U:$U, 0)), "")</f>
        <v/>
      </c>
      <c r="K37" s="22" t="str">
        <f aca="false" t="array" ref="K37:K37">IFERROR(INDEX(Pacientes!$K:$K, MATCH("Compareceu|35", Pacientes!$U:$U, 0)), "")</f>
        <v/>
      </c>
      <c r="M37" s="22" t="str">
        <f aca="false" t="array" ref="M37:M37">IFERROR(INDEX(Pacientes!$A:$A, MATCH("Plano de Tratamento|35", Pacientes!$U:$U, 0)), "")</f>
        <v/>
      </c>
      <c r="N37" s="24" t="str">
        <f aca="false" t="array" ref="N37:N37">IFERROR(INDEX(Pacientes!$M:$M, MATCH("Plano de Tratamento|35", Pacientes!$U:$U, 0)), "")</f>
        <v/>
      </c>
      <c r="P37" s="22" t="str">
        <f aca="false" t="array" ref="P37:P37">IFERROR(INDEX(Pacientes!$A:$A, MATCH("Fechado|35", Pacientes!$X:$X, 0)), "")</f>
        <v/>
      </c>
      <c r="Q37" s="24" t="str">
        <f aca="false" t="array" ref="Q37:Q37">IFERROR(INDEX(Pacientes!$O:$O, MATCH("Fechado|35", Pacientes!$X:$X, 0)), "")</f>
        <v/>
      </c>
      <c r="S37" s="22" t="str">
        <f aca="false" t="array" ref="S37:S37">IFERROR(INDEX(Pacientes!$A:$A, MATCH("Perdido|35", Pacientes!$U:$U, 0)), "")</f>
        <v/>
      </c>
      <c r="T37" s="22" t="str">
        <f aca="false" t="array" ref="T37:T37">IFERROR(INDEX(Pacientes!$Q:$Q, MATCH("Perdido|35", Pacientes!$U:$U, 0)), "")</f>
        <v/>
      </c>
      <c r="V37" s="22" t="str">
        <f aca="false" t="array" ref="V37:V37">IFERROR(INDEX(Pacientes!$A:$A, MATCH("Pendente|35", Pacientes!$U:$U, 0)), "")</f>
        <v/>
      </c>
      <c r="W37" s="22" t="str">
        <f aca="false" t="array" ref="W37:W37">IFERROR(INDEX(Pacientes!$S:$S, MATCH("Pendente|35", Pacientes!$U:$U, 0)), "")</f>
        <v/>
      </c>
      <c r="Y37" s="22" t="str">
        <f aca="false" t="array" ref="Y37:Y37">IFERROR(INDEX(Pacientes!$A:$A, MATCH("Não Precisa no Momento|35", Pacientes!$U:$U, 0)), "")</f>
        <v/>
      </c>
      <c r="Z37" s="22" t="str">
        <f aca="false" t="array" ref="Z37:Z37">IFERROR(INDEX(Pacientes!$S:$S, MATCH("Não Precisa no Momento|35", Pacientes!$U:$U, 0)), "")</f>
        <v/>
      </c>
    </row>
    <row r="38" customFormat="false" ht="15" hidden="false" customHeight="true" outlineLevel="0" collapsed="false">
      <c r="A38" s="22" t="str">
        <f aca="false" t="array" ref="A38:A38">IFERROR(INDEX(Pacientes!$A:$A, MATCH("Novo Paciente|36", Pacientes!$U:$U, 0)), "")</f>
        <v/>
      </c>
      <c r="B38" s="23" t="str">
        <f aca="false" t="array" ref="B38:B38">IFERROR(INDEX(Pacientes!$G:$G, MATCH("Novo Paciente|36", Pacientes!$U:$U, 0)), "")</f>
        <v/>
      </c>
      <c r="D38" s="22" t="str">
        <f aca="false" t="array" ref="D38:D38">IFERROR(INDEX(Pacientes!$A:$A, MATCH("Consulta Marcada|36", Pacientes!$U:$U, 0)), "")</f>
        <v/>
      </c>
      <c r="E38" s="23" t="str">
        <f aca="false" t="array" ref="E38:E38">IFERROR(INDEX(Pacientes!$I:$I, MATCH("Consulta Marcada|36", Pacientes!$U:$U, 0)), "")</f>
        <v/>
      </c>
      <c r="G38" s="22" t="str">
        <f aca="false" t="array" ref="G38:G38">IFERROR(INDEX(Pacientes!$A:$A, MATCH("Não Compareceu|36", Pacientes!$U:$U, 0)), "")</f>
        <v/>
      </c>
      <c r="H38" s="23" t="str">
        <f aca="false" t="array" ref="H38:H38">IFERROR(INDEX(Pacientes!$I:$I, MATCH("Não Compareceu|36", Pacientes!$U:$U, 0)), "")</f>
        <v/>
      </c>
      <c r="J38" s="22" t="str">
        <f aca="false" t="array" ref="J38:J38">IFERROR(INDEX(Pacientes!$A:$A, MATCH("Compareceu|36", Pacientes!$U:$U, 0)), "")</f>
        <v/>
      </c>
      <c r="K38" s="22" t="str">
        <f aca="false" t="array" ref="K38:K38">IFERROR(INDEX(Pacientes!$K:$K, MATCH("Compareceu|36", Pacientes!$U:$U, 0)), "")</f>
        <v/>
      </c>
      <c r="M38" s="22" t="str">
        <f aca="false" t="array" ref="M38:M38">IFERROR(INDEX(Pacientes!$A:$A, MATCH("Plano de Tratamento|36", Pacientes!$U:$U, 0)), "")</f>
        <v/>
      </c>
      <c r="N38" s="24" t="str">
        <f aca="false" t="array" ref="N38:N38">IFERROR(INDEX(Pacientes!$M:$M, MATCH("Plano de Tratamento|36", Pacientes!$U:$U, 0)), "")</f>
        <v/>
      </c>
      <c r="P38" s="22" t="str">
        <f aca="false" t="array" ref="P38:P38">IFERROR(INDEX(Pacientes!$A:$A, MATCH("Fechado|36", Pacientes!$X:$X, 0)), "")</f>
        <v/>
      </c>
      <c r="Q38" s="24" t="str">
        <f aca="false" t="array" ref="Q38:Q38">IFERROR(INDEX(Pacientes!$O:$O, MATCH("Fechado|36", Pacientes!$X:$X, 0)), "")</f>
        <v/>
      </c>
      <c r="S38" s="22" t="str">
        <f aca="false" t="array" ref="S38:S38">IFERROR(INDEX(Pacientes!$A:$A, MATCH("Perdido|36", Pacientes!$U:$U, 0)), "")</f>
        <v/>
      </c>
      <c r="T38" s="22" t="str">
        <f aca="false" t="array" ref="T38:T38">IFERROR(INDEX(Pacientes!$Q:$Q, MATCH("Perdido|36", Pacientes!$U:$U, 0)), "")</f>
        <v/>
      </c>
      <c r="V38" s="22" t="str">
        <f aca="false" t="array" ref="V38:V38">IFERROR(INDEX(Pacientes!$A:$A, MATCH("Pendente|36", Pacientes!$U:$U, 0)), "")</f>
        <v/>
      </c>
      <c r="W38" s="22" t="str">
        <f aca="false" t="array" ref="W38:W38">IFERROR(INDEX(Pacientes!$S:$S, MATCH("Pendente|36", Pacientes!$U:$U, 0)), "")</f>
        <v/>
      </c>
      <c r="Y38" s="22" t="str">
        <f aca="false" t="array" ref="Y38:Y38">IFERROR(INDEX(Pacientes!$A:$A, MATCH("Não Precisa no Momento|36", Pacientes!$U:$U, 0)), "")</f>
        <v/>
      </c>
      <c r="Z38" s="22" t="str">
        <f aca="false" t="array" ref="Z38:Z38">IFERROR(INDEX(Pacientes!$S:$S, MATCH("Não Precisa no Momento|36", Pacientes!$U:$U, 0)), "")</f>
        <v/>
      </c>
    </row>
    <row r="39" customFormat="false" ht="15" hidden="false" customHeight="true" outlineLevel="0" collapsed="false">
      <c r="A39" s="22" t="str">
        <f aca="false" t="array" ref="A39:A39">IFERROR(INDEX(Pacientes!$A:$A, MATCH("Novo Paciente|37", Pacientes!$U:$U, 0)), "")</f>
        <v/>
      </c>
      <c r="B39" s="23" t="str">
        <f aca="false" t="array" ref="B39:B39">IFERROR(INDEX(Pacientes!$G:$G, MATCH("Novo Paciente|37", Pacientes!$U:$U, 0)), "")</f>
        <v/>
      </c>
      <c r="D39" s="22" t="str">
        <f aca="false" t="array" ref="D39:D39">IFERROR(INDEX(Pacientes!$A:$A, MATCH("Consulta Marcada|37", Pacientes!$U:$U, 0)), "")</f>
        <v/>
      </c>
      <c r="E39" s="23" t="str">
        <f aca="false" t="array" ref="E39:E39">IFERROR(INDEX(Pacientes!$I:$I, MATCH("Consulta Marcada|37", Pacientes!$U:$U, 0)), "")</f>
        <v/>
      </c>
      <c r="G39" s="22" t="str">
        <f aca="false" t="array" ref="G39:G39">IFERROR(INDEX(Pacientes!$A:$A, MATCH("Não Compareceu|37", Pacientes!$U:$U, 0)), "")</f>
        <v/>
      </c>
      <c r="H39" s="23" t="str">
        <f aca="false" t="array" ref="H39:H39">IFERROR(INDEX(Pacientes!$I:$I, MATCH("Não Compareceu|37", Pacientes!$U:$U, 0)), "")</f>
        <v/>
      </c>
      <c r="J39" s="22" t="str">
        <f aca="false" t="array" ref="J39:J39">IFERROR(INDEX(Pacientes!$A:$A, MATCH("Compareceu|37", Pacientes!$U:$U, 0)), "")</f>
        <v/>
      </c>
      <c r="K39" s="22" t="str">
        <f aca="false" t="array" ref="K39:K39">IFERROR(INDEX(Pacientes!$K:$K, MATCH("Compareceu|37", Pacientes!$U:$U, 0)), "")</f>
        <v/>
      </c>
      <c r="M39" s="22" t="str">
        <f aca="false" t="array" ref="M39:M39">IFERROR(INDEX(Pacientes!$A:$A, MATCH("Plano de Tratamento|37", Pacientes!$U:$U, 0)), "")</f>
        <v/>
      </c>
      <c r="N39" s="24" t="str">
        <f aca="false" t="array" ref="N39:N39">IFERROR(INDEX(Pacientes!$M:$M, MATCH("Plano de Tratamento|37", Pacientes!$U:$U, 0)), "")</f>
        <v/>
      </c>
      <c r="P39" s="22" t="str">
        <f aca="false" t="array" ref="P39:P39">IFERROR(INDEX(Pacientes!$A:$A, MATCH("Fechado|37", Pacientes!$X:$X, 0)), "")</f>
        <v/>
      </c>
      <c r="Q39" s="24" t="str">
        <f aca="false" t="array" ref="Q39:Q39">IFERROR(INDEX(Pacientes!$O:$O, MATCH("Fechado|37", Pacientes!$X:$X, 0)), "")</f>
        <v/>
      </c>
      <c r="S39" s="22" t="str">
        <f aca="false" t="array" ref="S39:S39">IFERROR(INDEX(Pacientes!$A:$A, MATCH("Perdido|37", Pacientes!$U:$U, 0)), "")</f>
        <v/>
      </c>
      <c r="T39" s="22" t="str">
        <f aca="false" t="array" ref="T39:T39">IFERROR(INDEX(Pacientes!$Q:$Q, MATCH("Perdido|37", Pacientes!$U:$U, 0)), "")</f>
        <v/>
      </c>
      <c r="V39" s="22" t="str">
        <f aca="false" t="array" ref="V39:V39">IFERROR(INDEX(Pacientes!$A:$A, MATCH("Pendente|37", Pacientes!$U:$U, 0)), "")</f>
        <v/>
      </c>
      <c r="W39" s="22" t="str">
        <f aca="false" t="array" ref="W39:W39">IFERROR(INDEX(Pacientes!$S:$S, MATCH("Pendente|37", Pacientes!$U:$U, 0)), "")</f>
        <v/>
      </c>
      <c r="Y39" s="22" t="str">
        <f aca="false" t="array" ref="Y39:Y39">IFERROR(INDEX(Pacientes!$A:$A, MATCH("Não Precisa no Momento|37", Pacientes!$U:$U, 0)), "")</f>
        <v/>
      </c>
      <c r="Z39" s="22" t="str">
        <f aca="false" t="array" ref="Z39:Z39">IFERROR(INDEX(Pacientes!$S:$S, MATCH("Não Precisa no Momento|37", Pacientes!$U:$U, 0)), "")</f>
        <v/>
      </c>
    </row>
    <row r="40" customFormat="false" ht="15" hidden="false" customHeight="true" outlineLevel="0" collapsed="false">
      <c r="A40" s="22" t="str">
        <f aca="false" t="array" ref="A40:A40">IFERROR(INDEX(Pacientes!$A:$A, MATCH("Novo Paciente|38", Pacientes!$U:$U, 0)), "")</f>
        <v/>
      </c>
      <c r="B40" s="23" t="str">
        <f aca="false" t="array" ref="B40:B40">IFERROR(INDEX(Pacientes!$G:$G, MATCH("Novo Paciente|38", Pacientes!$U:$U, 0)), "")</f>
        <v/>
      </c>
      <c r="D40" s="22" t="str">
        <f aca="false" t="array" ref="D40:D40">IFERROR(INDEX(Pacientes!$A:$A, MATCH("Consulta Marcada|38", Pacientes!$U:$U, 0)), "")</f>
        <v/>
      </c>
      <c r="E40" s="23" t="str">
        <f aca="false" t="array" ref="E40:E40">IFERROR(INDEX(Pacientes!$I:$I, MATCH("Consulta Marcada|38", Pacientes!$U:$U, 0)), "")</f>
        <v/>
      </c>
      <c r="G40" s="22" t="str">
        <f aca="false" t="array" ref="G40:G40">IFERROR(INDEX(Pacientes!$A:$A, MATCH("Não Compareceu|38", Pacientes!$U:$U, 0)), "")</f>
        <v/>
      </c>
      <c r="H40" s="23" t="str">
        <f aca="false" t="array" ref="H40:H40">IFERROR(INDEX(Pacientes!$I:$I, MATCH("Não Compareceu|38", Pacientes!$U:$U, 0)), "")</f>
        <v/>
      </c>
      <c r="J40" s="22" t="str">
        <f aca="false" t="array" ref="J40:J40">IFERROR(INDEX(Pacientes!$A:$A, MATCH("Compareceu|38", Pacientes!$U:$U, 0)), "")</f>
        <v/>
      </c>
      <c r="K40" s="22" t="str">
        <f aca="false" t="array" ref="K40:K40">IFERROR(INDEX(Pacientes!$K:$K, MATCH("Compareceu|38", Pacientes!$U:$U, 0)), "")</f>
        <v/>
      </c>
      <c r="M40" s="22" t="str">
        <f aca="false" t="array" ref="M40:M40">IFERROR(INDEX(Pacientes!$A:$A, MATCH("Plano de Tratamento|38", Pacientes!$U:$U, 0)), "")</f>
        <v/>
      </c>
      <c r="N40" s="24" t="str">
        <f aca="false" t="array" ref="N40:N40">IFERROR(INDEX(Pacientes!$M:$M, MATCH("Plano de Tratamento|38", Pacientes!$U:$U, 0)), "")</f>
        <v/>
      </c>
      <c r="P40" s="22" t="str">
        <f aca="false" t="array" ref="P40:P40">IFERROR(INDEX(Pacientes!$A:$A, MATCH("Fechado|38", Pacientes!$X:$X, 0)), "")</f>
        <v/>
      </c>
      <c r="Q40" s="24" t="str">
        <f aca="false" t="array" ref="Q40:Q40">IFERROR(INDEX(Pacientes!$O:$O, MATCH("Fechado|38", Pacientes!$X:$X, 0)), "")</f>
        <v/>
      </c>
      <c r="S40" s="22" t="str">
        <f aca="false" t="array" ref="S40:S40">IFERROR(INDEX(Pacientes!$A:$A, MATCH("Perdido|38", Pacientes!$U:$U, 0)), "")</f>
        <v/>
      </c>
      <c r="T40" s="22" t="str">
        <f aca="false" t="array" ref="T40:T40">IFERROR(INDEX(Pacientes!$Q:$Q, MATCH("Perdido|38", Pacientes!$U:$U, 0)), "")</f>
        <v/>
      </c>
      <c r="V40" s="22" t="str">
        <f aca="false" t="array" ref="V40:V40">IFERROR(INDEX(Pacientes!$A:$A, MATCH("Pendente|38", Pacientes!$U:$U, 0)), "")</f>
        <v/>
      </c>
      <c r="W40" s="22" t="str">
        <f aca="false" t="array" ref="W40:W40">IFERROR(INDEX(Pacientes!$S:$S, MATCH("Pendente|38", Pacientes!$U:$U, 0)), "")</f>
        <v/>
      </c>
      <c r="Y40" s="22" t="str">
        <f aca="false" t="array" ref="Y40:Y40">IFERROR(INDEX(Pacientes!$A:$A, MATCH("Não Precisa no Momento|38", Pacientes!$U:$U, 0)), "")</f>
        <v/>
      </c>
      <c r="Z40" s="22" t="str">
        <f aca="false" t="array" ref="Z40:Z40">IFERROR(INDEX(Pacientes!$S:$S, MATCH("Não Precisa no Momento|38", Pacientes!$U:$U, 0)), "")</f>
        <v/>
      </c>
    </row>
    <row r="41" customFormat="false" ht="15" hidden="false" customHeight="true" outlineLevel="0" collapsed="false">
      <c r="A41" s="22" t="str">
        <f aca="false" t="array" ref="A41:A41">IFERROR(INDEX(Pacientes!$A:$A, MATCH("Novo Paciente|39", Pacientes!$U:$U, 0)), "")</f>
        <v/>
      </c>
      <c r="B41" s="23" t="str">
        <f aca="false" t="array" ref="B41:B41">IFERROR(INDEX(Pacientes!$G:$G, MATCH("Novo Paciente|39", Pacientes!$U:$U, 0)), "")</f>
        <v/>
      </c>
      <c r="D41" s="22" t="str">
        <f aca="false" t="array" ref="D41:D41">IFERROR(INDEX(Pacientes!$A:$A, MATCH("Consulta Marcada|39", Pacientes!$U:$U, 0)), "")</f>
        <v/>
      </c>
      <c r="E41" s="23" t="str">
        <f aca="false" t="array" ref="E41:E41">IFERROR(INDEX(Pacientes!$I:$I, MATCH("Consulta Marcada|39", Pacientes!$U:$U, 0)), "")</f>
        <v/>
      </c>
      <c r="G41" s="22" t="str">
        <f aca="false" t="array" ref="G41:G41">IFERROR(INDEX(Pacientes!$A:$A, MATCH("Não Compareceu|39", Pacientes!$U:$U, 0)), "")</f>
        <v/>
      </c>
      <c r="H41" s="23" t="str">
        <f aca="false" t="array" ref="H41:H41">IFERROR(INDEX(Pacientes!$I:$I, MATCH("Não Compareceu|39", Pacientes!$U:$U, 0)), "")</f>
        <v/>
      </c>
      <c r="J41" s="22" t="str">
        <f aca="false" t="array" ref="J41:J41">IFERROR(INDEX(Pacientes!$A:$A, MATCH("Compareceu|39", Pacientes!$U:$U, 0)), "")</f>
        <v/>
      </c>
      <c r="K41" s="22" t="str">
        <f aca="false" t="array" ref="K41:K41">IFERROR(INDEX(Pacientes!$K:$K, MATCH("Compareceu|39", Pacientes!$U:$U, 0)), "")</f>
        <v/>
      </c>
      <c r="M41" s="22" t="str">
        <f aca="false" t="array" ref="M41:M41">IFERROR(INDEX(Pacientes!$A:$A, MATCH("Plano de Tratamento|39", Pacientes!$U:$U, 0)), "")</f>
        <v/>
      </c>
      <c r="N41" s="24" t="str">
        <f aca="false" t="array" ref="N41:N41">IFERROR(INDEX(Pacientes!$M:$M, MATCH("Plano de Tratamento|39", Pacientes!$U:$U, 0)), "")</f>
        <v/>
      </c>
      <c r="P41" s="22" t="str">
        <f aca="false" t="array" ref="P41:P41">IFERROR(INDEX(Pacientes!$A:$A, MATCH("Fechado|39", Pacientes!$X:$X, 0)), "")</f>
        <v/>
      </c>
      <c r="Q41" s="24" t="str">
        <f aca="false" t="array" ref="Q41:Q41">IFERROR(INDEX(Pacientes!$O:$O, MATCH("Fechado|39", Pacientes!$X:$X, 0)), "")</f>
        <v/>
      </c>
      <c r="S41" s="22" t="str">
        <f aca="false" t="array" ref="S41:S41">IFERROR(INDEX(Pacientes!$A:$A, MATCH("Perdido|39", Pacientes!$U:$U, 0)), "")</f>
        <v/>
      </c>
      <c r="T41" s="22" t="str">
        <f aca="false" t="array" ref="T41:T41">IFERROR(INDEX(Pacientes!$Q:$Q, MATCH("Perdido|39", Pacientes!$U:$U, 0)), "")</f>
        <v/>
      </c>
      <c r="V41" s="22" t="str">
        <f aca="false" t="array" ref="V41:V41">IFERROR(INDEX(Pacientes!$A:$A, MATCH("Pendente|39", Pacientes!$U:$U, 0)), "")</f>
        <v/>
      </c>
      <c r="W41" s="22" t="str">
        <f aca="false" t="array" ref="W41:W41">IFERROR(INDEX(Pacientes!$S:$S, MATCH("Pendente|39", Pacientes!$U:$U, 0)), "")</f>
        <v/>
      </c>
      <c r="Y41" s="22" t="str">
        <f aca="false" t="array" ref="Y41:Y41">IFERROR(INDEX(Pacientes!$A:$A, MATCH("Não Precisa no Momento|39", Pacientes!$U:$U, 0)), "")</f>
        <v/>
      </c>
      <c r="Z41" s="22" t="str">
        <f aca="false" t="array" ref="Z41:Z41">IFERROR(INDEX(Pacientes!$S:$S, MATCH("Não Precisa no Momento|39", Pacientes!$U:$U, 0)), "")</f>
        <v/>
      </c>
    </row>
    <row r="42" customFormat="false" ht="15" hidden="false" customHeight="true" outlineLevel="0" collapsed="false">
      <c r="A42" s="22" t="str">
        <f aca="false" t="array" ref="A42:A42">IFERROR(INDEX(Pacientes!$A:$A, MATCH("Novo Paciente|40", Pacientes!$U:$U, 0)), "")</f>
        <v/>
      </c>
      <c r="B42" s="23" t="str">
        <f aca="false" t="array" ref="B42:B42">IFERROR(INDEX(Pacientes!$G:$G, MATCH("Novo Paciente|40", Pacientes!$U:$U, 0)), "")</f>
        <v/>
      </c>
      <c r="D42" s="22" t="str">
        <f aca="false" t="array" ref="D42:D42">IFERROR(INDEX(Pacientes!$A:$A, MATCH("Consulta Marcada|40", Pacientes!$U:$U, 0)), "")</f>
        <v/>
      </c>
      <c r="E42" s="23" t="str">
        <f aca="false" t="array" ref="E42:E42">IFERROR(INDEX(Pacientes!$I:$I, MATCH("Consulta Marcada|40", Pacientes!$U:$U, 0)), "")</f>
        <v/>
      </c>
      <c r="G42" s="22" t="str">
        <f aca="false" t="array" ref="G42:G42">IFERROR(INDEX(Pacientes!$A:$A, MATCH("Não Compareceu|40", Pacientes!$U:$U, 0)), "")</f>
        <v/>
      </c>
      <c r="H42" s="23" t="str">
        <f aca="false" t="array" ref="H42:H42">IFERROR(INDEX(Pacientes!$I:$I, MATCH("Não Compareceu|40", Pacientes!$U:$U, 0)), "")</f>
        <v/>
      </c>
      <c r="J42" s="22" t="str">
        <f aca="false" t="array" ref="J42:J42">IFERROR(INDEX(Pacientes!$A:$A, MATCH("Compareceu|40", Pacientes!$U:$U, 0)), "")</f>
        <v/>
      </c>
      <c r="K42" s="22" t="str">
        <f aca="false" t="array" ref="K42:K42">IFERROR(INDEX(Pacientes!$K:$K, MATCH("Compareceu|40", Pacientes!$U:$U, 0)), "")</f>
        <v/>
      </c>
      <c r="M42" s="22" t="str">
        <f aca="false" t="array" ref="M42:M42">IFERROR(INDEX(Pacientes!$A:$A, MATCH("Plano de Tratamento|40", Pacientes!$U:$U, 0)), "")</f>
        <v/>
      </c>
      <c r="N42" s="24" t="str">
        <f aca="false" t="array" ref="N42:N42">IFERROR(INDEX(Pacientes!$M:$M, MATCH("Plano de Tratamento|40", Pacientes!$U:$U, 0)), "")</f>
        <v/>
      </c>
      <c r="P42" s="22" t="str">
        <f aca="false" t="array" ref="P42:P42">IFERROR(INDEX(Pacientes!$A:$A, MATCH("Fechado|40", Pacientes!$X:$X, 0)), "")</f>
        <v/>
      </c>
      <c r="Q42" s="24" t="str">
        <f aca="false" t="array" ref="Q42:Q42">IFERROR(INDEX(Pacientes!$O:$O, MATCH("Fechado|40", Pacientes!$X:$X, 0)), "")</f>
        <v/>
      </c>
      <c r="S42" s="22" t="str">
        <f aca="false" t="array" ref="S42:S42">IFERROR(INDEX(Pacientes!$A:$A, MATCH("Perdido|40", Pacientes!$U:$U, 0)), "")</f>
        <v/>
      </c>
      <c r="T42" s="22" t="str">
        <f aca="false" t="array" ref="T42:T42">IFERROR(INDEX(Pacientes!$Q:$Q, MATCH("Perdido|40", Pacientes!$U:$U, 0)), "")</f>
        <v/>
      </c>
      <c r="V42" s="22" t="str">
        <f aca="false" t="array" ref="V42:V42">IFERROR(INDEX(Pacientes!$A:$A, MATCH("Pendente|40", Pacientes!$U:$U, 0)), "")</f>
        <v/>
      </c>
      <c r="W42" s="22" t="str">
        <f aca="false" t="array" ref="W42:W42">IFERROR(INDEX(Pacientes!$S:$S, MATCH("Pendente|40", Pacientes!$U:$U, 0)), "")</f>
        <v/>
      </c>
      <c r="Y42" s="22" t="str">
        <f aca="false" t="array" ref="Y42:Y42">IFERROR(INDEX(Pacientes!$A:$A, MATCH("Não Precisa no Momento|40", Pacientes!$U:$U, 0)), "")</f>
        <v/>
      </c>
      <c r="Z42" s="22" t="str">
        <f aca="false" t="array" ref="Z42:Z42">IFERROR(INDEX(Pacientes!$S:$S, MATCH("Não Precisa no Momento|40", Pacientes!$U:$U, 0)), "")</f>
        <v/>
      </c>
    </row>
    <row r="43" customFormat="false" ht="15" hidden="false" customHeight="true" outlineLevel="0" collapsed="false">
      <c r="A43" s="22" t="str">
        <f aca="false" t="array" ref="A43:A43">IFERROR(INDEX(Pacientes!$A:$A, MATCH("Novo Paciente|41", Pacientes!$U:$U, 0)), "")</f>
        <v/>
      </c>
      <c r="B43" s="23" t="str">
        <f aca="false" t="array" ref="B43:B43">IFERROR(INDEX(Pacientes!$G:$G, MATCH("Novo Paciente|41", Pacientes!$U:$U, 0)), "")</f>
        <v/>
      </c>
      <c r="D43" s="22" t="str">
        <f aca="false" t="array" ref="D43:D43">IFERROR(INDEX(Pacientes!$A:$A, MATCH("Consulta Marcada|41", Pacientes!$U:$U, 0)), "")</f>
        <v/>
      </c>
      <c r="E43" s="23" t="str">
        <f aca="false" t="array" ref="E43:E43">IFERROR(INDEX(Pacientes!$I:$I, MATCH("Consulta Marcada|41", Pacientes!$U:$U, 0)), "")</f>
        <v/>
      </c>
      <c r="G43" s="22" t="str">
        <f aca="false" t="array" ref="G43:G43">IFERROR(INDEX(Pacientes!$A:$A, MATCH("Não Compareceu|41", Pacientes!$U:$U, 0)), "")</f>
        <v/>
      </c>
      <c r="H43" s="23" t="str">
        <f aca="false" t="array" ref="H43:H43">IFERROR(INDEX(Pacientes!$I:$I, MATCH("Não Compareceu|41", Pacientes!$U:$U, 0)), "")</f>
        <v/>
      </c>
      <c r="J43" s="22" t="str">
        <f aca="false" t="array" ref="J43:J43">IFERROR(INDEX(Pacientes!$A:$A, MATCH("Compareceu|41", Pacientes!$U:$U, 0)), "")</f>
        <v/>
      </c>
      <c r="K43" s="22" t="str">
        <f aca="false" t="array" ref="K43:K43">IFERROR(INDEX(Pacientes!$K:$K, MATCH("Compareceu|41", Pacientes!$U:$U, 0)), "")</f>
        <v/>
      </c>
      <c r="M43" s="22" t="str">
        <f aca="false" t="array" ref="M43:M43">IFERROR(INDEX(Pacientes!$A:$A, MATCH("Plano de Tratamento|41", Pacientes!$U:$U, 0)), "")</f>
        <v/>
      </c>
      <c r="N43" s="24" t="str">
        <f aca="false" t="array" ref="N43:N43">IFERROR(INDEX(Pacientes!$M:$M, MATCH("Plano de Tratamento|41", Pacientes!$U:$U, 0)), "")</f>
        <v/>
      </c>
      <c r="P43" s="22" t="str">
        <f aca="false" t="array" ref="P43:P43">IFERROR(INDEX(Pacientes!$A:$A, MATCH("Fechado|41", Pacientes!$X:$X, 0)), "")</f>
        <v/>
      </c>
      <c r="Q43" s="24" t="str">
        <f aca="false" t="array" ref="Q43:Q43">IFERROR(INDEX(Pacientes!$O:$O, MATCH("Fechado|41", Pacientes!$X:$X, 0)), "")</f>
        <v/>
      </c>
      <c r="S43" s="22" t="str">
        <f aca="false" t="array" ref="S43:S43">IFERROR(INDEX(Pacientes!$A:$A, MATCH("Perdido|41", Pacientes!$U:$U, 0)), "")</f>
        <v/>
      </c>
      <c r="T43" s="22" t="str">
        <f aca="false" t="array" ref="T43:T43">IFERROR(INDEX(Pacientes!$Q:$Q, MATCH("Perdido|41", Pacientes!$U:$U, 0)), "")</f>
        <v/>
      </c>
      <c r="V43" s="22" t="str">
        <f aca="false" t="array" ref="V43:V43">IFERROR(INDEX(Pacientes!$A:$A, MATCH("Pendente|41", Pacientes!$U:$U, 0)), "")</f>
        <v/>
      </c>
      <c r="W43" s="22" t="str">
        <f aca="false" t="array" ref="W43:W43">IFERROR(INDEX(Pacientes!$S:$S, MATCH("Pendente|41", Pacientes!$U:$U, 0)), "")</f>
        <v/>
      </c>
      <c r="Y43" s="22" t="str">
        <f aca="false" t="array" ref="Y43:Y43">IFERROR(INDEX(Pacientes!$A:$A, MATCH("Não Precisa no Momento|41", Pacientes!$U:$U, 0)), "")</f>
        <v/>
      </c>
      <c r="Z43" s="22" t="str">
        <f aca="false" t="array" ref="Z43:Z43">IFERROR(INDEX(Pacientes!$S:$S, MATCH("Não Precisa no Momento|41", Pacientes!$U:$U, 0)), "")</f>
        <v/>
      </c>
    </row>
    <row r="44" customFormat="false" ht="15" hidden="false" customHeight="true" outlineLevel="0" collapsed="false">
      <c r="A44" s="22" t="str">
        <f aca="false" t="array" ref="A44:A44">IFERROR(INDEX(Pacientes!$A:$A, MATCH("Novo Paciente|42", Pacientes!$U:$U, 0)), "")</f>
        <v/>
      </c>
      <c r="B44" s="23" t="str">
        <f aca="false" t="array" ref="B44:B44">IFERROR(INDEX(Pacientes!$G:$G, MATCH("Novo Paciente|42", Pacientes!$U:$U, 0)), "")</f>
        <v/>
      </c>
      <c r="D44" s="22" t="str">
        <f aca="false" t="array" ref="D44:D44">IFERROR(INDEX(Pacientes!$A:$A, MATCH("Consulta Marcada|42", Pacientes!$U:$U, 0)), "")</f>
        <v/>
      </c>
      <c r="E44" s="23" t="str">
        <f aca="false" t="array" ref="E44:E44">IFERROR(INDEX(Pacientes!$I:$I, MATCH("Consulta Marcada|42", Pacientes!$U:$U, 0)), "")</f>
        <v/>
      </c>
      <c r="G44" s="22" t="str">
        <f aca="false" t="array" ref="G44:G44">IFERROR(INDEX(Pacientes!$A:$A, MATCH("Não Compareceu|42", Pacientes!$U:$U, 0)), "")</f>
        <v/>
      </c>
      <c r="H44" s="23" t="str">
        <f aca="false" t="array" ref="H44:H44">IFERROR(INDEX(Pacientes!$I:$I, MATCH("Não Compareceu|42", Pacientes!$U:$U, 0)), "")</f>
        <v/>
      </c>
      <c r="J44" s="22" t="str">
        <f aca="false" t="array" ref="J44:J44">IFERROR(INDEX(Pacientes!$A:$A, MATCH("Compareceu|42", Pacientes!$U:$U, 0)), "")</f>
        <v/>
      </c>
      <c r="K44" s="22" t="str">
        <f aca="false" t="array" ref="K44:K44">IFERROR(INDEX(Pacientes!$K:$K, MATCH("Compareceu|42", Pacientes!$U:$U, 0)), "")</f>
        <v/>
      </c>
      <c r="M44" s="22" t="str">
        <f aca="false" t="array" ref="M44:M44">IFERROR(INDEX(Pacientes!$A:$A, MATCH("Plano de Tratamento|42", Pacientes!$U:$U, 0)), "")</f>
        <v/>
      </c>
      <c r="N44" s="24" t="str">
        <f aca="false" t="array" ref="N44:N44">IFERROR(INDEX(Pacientes!$M:$M, MATCH("Plano de Tratamento|42", Pacientes!$U:$U, 0)), "")</f>
        <v/>
      </c>
      <c r="P44" s="22" t="str">
        <f aca="false" t="array" ref="P44:P44">IFERROR(INDEX(Pacientes!$A:$A, MATCH("Fechado|42", Pacientes!$X:$X, 0)), "")</f>
        <v/>
      </c>
      <c r="Q44" s="24" t="str">
        <f aca="false" t="array" ref="Q44:Q44">IFERROR(INDEX(Pacientes!$O:$O, MATCH("Fechado|42", Pacientes!$X:$X, 0)), "")</f>
        <v/>
      </c>
      <c r="S44" s="22" t="str">
        <f aca="false" t="array" ref="S44:S44">IFERROR(INDEX(Pacientes!$A:$A, MATCH("Perdido|42", Pacientes!$U:$U, 0)), "")</f>
        <v/>
      </c>
      <c r="T44" s="22" t="str">
        <f aca="false" t="array" ref="T44:T44">IFERROR(INDEX(Pacientes!$Q:$Q, MATCH("Perdido|42", Pacientes!$U:$U, 0)), "")</f>
        <v/>
      </c>
      <c r="V44" s="22" t="str">
        <f aca="false" t="array" ref="V44:V44">IFERROR(INDEX(Pacientes!$A:$A, MATCH("Pendente|42", Pacientes!$U:$U, 0)), "")</f>
        <v/>
      </c>
      <c r="W44" s="22" t="str">
        <f aca="false" t="array" ref="W44:W44">IFERROR(INDEX(Pacientes!$S:$S, MATCH("Pendente|42", Pacientes!$U:$U, 0)), "")</f>
        <v/>
      </c>
      <c r="Y44" s="22" t="str">
        <f aca="false" t="array" ref="Y44:Y44">IFERROR(INDEX(Pacientes!$A:$A, MATCH("Não Precisa no Momento|42", Pacientes!$U:$U, 0)), "")</f>
        <v/>
      </c>
      <c r="Z44" s="22" t="str">
        <f aca="false" t="array" ref="Z44:Z44">IFERROR(INDEX(Pacientes!$S:$S, MATCH("Não Precisa no Momento|42", Pacientes!$U:$U, 0)), "")</f>
        <v/>
      </c>
    </row>
    <row r="45" customFormat="false" ht="15" hidden="false" customHeight="true" outlineLevel="0" collapsed="false">
      <c r="A45" s="22" t="str">
        <f aca="false" t="array" ref="A45:A45">IFERROR(INDEX(Pacientes!$A:$A, MATCH("Novo Paciente|43", Pacientes!$U:$U, 0)), "")</f>
        <v/>
      </c>
      <c r="B45" s="23" t="str">
        <f aca="false" t="array" ref="B45:B45">IFERROR(INDEX(Pacientes!$G:$G, MATCH("Novo Paciente|43", Pacientes!$U:$U, 0)), "")</f>
        <v/>
      </c>
      <c r="D45" s="22" t="str">
        <f aca="false" t="array" ref="D45:D45">IFERROR(INDEX(Pacientes!$A:$A, MATCH("Consulta Marcada|43", Pacientes!$U:$U, 0)), "")</f>
        <v/>
      </c>
      <c r="E45" s="23" t="str">
        <f aca="false" t="array" ref="E45:E45">IFERROR(INDEX(Pacientes!$I:$I, MATCH("Consulta Marcada|43", Pacientes!$U:$U, 0)), "")</f>
        <v/>
      </c>
      <c r="G45" s="22" t="str">
        <f aca="false" t="array" ref="G45:G45">IFERROR(INDEX(Pacientes!$A:$A, MATCH("Não Compareceu|43", Pacientes!$U:$U, 0)), "")</f>
        <v/>
      </c>
      <c r="H45" s="23" t="str">
        <f aca="false" t="array" ref="H45:H45">IFERROR(INDEX(Pacientes!$I:$I, MATCH("Não Compareceu|43", Pacientes!$U:$U, 0)), "")</f>
        <v/>
      </c>
      <c r="J45" s="22" t="str">
        <f aca="false" t="array" ref="J45:J45">IFERROR(INDEX(Pacientes!$A:$A, MATCH("Compareceu|43", Pacientes!$U:$U, 0)), "")</f>
        <v/>
      </c>
      <c r="K45" s="22" t="str">
        <f aca="false" t="array" ref="K45:K45">IFERROR(INDEX(Pacientes!$K:$K, MATCH("Compareceu|43", Pacientes!$U:$U, 0)), "")</f>
        <v/>
      </c>
      <c r="M45" s="22" t="str">
        <f aca="false" t="array" ref="M45:M45">IFERROR(INDEX(Pacientes!$A:$A, MATCH("Plano de Tratamento|43", Pacientes!$U:$U, 0)), "")</f>
        <v/>
      </c>
      <c r="N45" s="24" t="str">
        <f aca="false" t="array" ref="N45:N45">IFERROR(INDEX(Pacientes!$M:$M, MATCH("Plano de Tratamento|43", Pacientes!$U:$U, 0)), "")</f>
        <v/>
      </c>
      <c r="P45" s="22" t="str">
        <f aca="false" t="array" ref="P45:P45">IFERROR(INDEX(Pacientes!$A:$A, MATCH("Fechado|43", Pacientes!$X:$X, 0)), "")</f>
        <v/>
      </c>
      <c r="Q45" s="24" t="str">
        <f aca="false" t="array" ref="Q45:Q45">IFERROR(INDEX(Pacientes!$O:$O, MATCH("Fechado|43", Pacientes!$X:$X, 0)), "")</f>
        <v/>
      </c>
      <c r="S45" s="22" t="str">
        <f aca="false" t="array" ref="S45:S45">IFERROR(INDEX(Pacientes!$A:$A, MATCH("Perdido|43", Pacientes!$U:$U, 0)), "")</f>
        <v/>
      </c>
      <c r="T45" s="22" t="str">
        <f aca="false" t="array" ref="T45:T45">IFERROR(INDEX(Pacientes!$Q:$Q, MATCH("Perdido|43", Pacientes!$U:$U, 0)), "")</f>
        <v/>
      </c>
      <c r="V45" s="22" t="str">
        <f aca="false" t="array" ref="V45:V45">IFERROR(INDEX(Pacientes!$A:$A, MATCH("Pendente|43", Pacientes!$U:$U, 0)), "")</f>
        <v/>
      </c>
      <c r="W45" s="22" t="str">
        <f aca="false" t="array" ref="W45:W45">IFERROR(INDEX(Pacientes!$S:$S, MATCH("Pendente|43", Pacientes!$U:$U, 0)), "")</f>
        <v/>
      </c>
      <c r="Y45" s="22" t="str">
        <f aca="false" t="array" ref="Y45:Y45">IFERROR(INDEX(Pacientes!$A:$A, MATCH("Não Precisa no Momento|43", Pacientes!$U:$U, 0)), "")</f>
        <v/>
      </c>
      <c r="Z45" s="22" t="str">
        <f aca="false" t="array" ref="Z45:Z45">IFERROR(INDEX(Pacientes!$S:$S, MATCH("Não Precisa no Momento|43", Pacientes!$U:$U, 0)), "")</f>
        <v/>
      </c>
    </row>
    <row r="46" customFormat="false" ht="15" hidden="false" customHeight="true" outlineLevel="0" collapsed="false">
      <c r="A46" s="22" t="str">
        <f aca="false" t="array" ref="A46:A46">IFERROR(INDEX(Pacientes!$A:$A, MATCH("Novo Paciente|44", Pacientes!$U:$U, 0)), "")</f>
        <v/>
      </c>
      <c r="B46" s="23" t="str">
        <f aca="false" t="array" ref="B46:B46">IFERROR(INDEX(Pacientes!$G:$G, MATCH("Novo Paciente|44", Pacientes!$U:$U, 0)), "")</f>
        <v/>
      </c>
      <c r="D46" s="22" t="str">
        <f aca="false" t="array" ref="D46:D46">IFERROR(INDEX(Pacientes!$A:$A, MATCH("Consulta Marcada|44", Pacientes!$U:$U, 0)), "")</f>
        <v/>
      </c>
      <c r="E46" s="23" t="str">
        <f aca="false" t="array" ref="E46:E46">IFERROR(INDEX(Pacientes!$I:$I, MATCH("Consulta Marcada|44", Pacientes!$U:$U, 0)), "")</f>
        <v/>
      </c>
      <c r="G46" s="22" t="str">
        <f aca="false" t="array" ref="G46:G46">IFERROR(INDEX(Pacientes!$A:$A, MATCH("Não Compareceu|44", Pacientes!$U:$U, 0)), "")</f>
        <v/>
      </c>
      <c r="H46" s="23" t="str">
        <f aca="false" t="array" ref="H46:H46">IFERROR(INDEX(Pacientes!$I:$I, MATCH("Não Compareceu|44", Pacientes!$U:$U, 0)), "")</f>
        <v/>
      </c>
      <c r="J46" s="22" t="str">
        <f aca="false" t="array" ref="J46:J46">IFERROR(INDEX(Pacientes!$A:$A, MATCH("Compareceu|44", Pacientes!$U:$U, 0)), "")</f>
        <v/>
      </c>
      <c r="K46" s="22" t="str">
        <f aca="false" t="array" ref="K46:K46">IFERROR(INDEX(Pacientes!$K:$K, MATCH("Compareceu|44", Pacientes!$U:$U, 0)), "")</f>
        <v/>
      </c>
      <c r="M46" s="22" t="str">
        <f aca="false" t="array" ref="M46:M46">IFERROR(INDEX(Pacientes!$A:$A, MATCH("Plano de Tratamento|44", Pacientes!$U:$U, 0)), "")</f>
        <v/>
      </c>
      <c r="N46" s="24" t="str">
        <f aca="false" t="array" ref="N46:N46">IFERROR(INDEX(Pacientes!$M:$M, MATCH("Plano de Tratamento|44", Pacientes!$U:$U, 0)), "")</f>
        <v/>
      </c>
      <c r="P46" s="22" t="str">
        <f aca="false" t="array" ref="P46:P46">IFERROR(INDEX(Pacientes!$A:$A, MATCH("Fechado|44", Pacientes!$X:$X, 0)), "")</f>
        <v/>
      </c>
      <c r="Q46" s="24" t="str">
        <f aca="false" t="array" ref="Q46:Q46">IFERROR(INDEX(Pacientes!$O:$O, MATCH("Fechado|44", Pacientes!$X:$X, 0)), "")</f>
        <v/>
      </c>
      <c r="S46" s="22" t="str">
        <f aca="false" t="array" ref="S46:S46">IFERROR(INDEX(Pacientes!$A:$A, MATCH("Perdido|44", Pacientes!$U:$U, 0)), "")</f>
        <v/>
      </c>
      <c r="T46" s="22" t="str">
        <f aca="false" t="array" ref="T46:T46">IFERROR(INDEX(Pacientes!$Q:$Q, MATCH("Perdido|44", Pacientes!$U:$U, 0)), "")</f>
        <v/>
      </c>
      <c r="V46" s="22" t="str">
        <f aca="false" t="array" ref="V46:V46">IFERROR(INDEX(Pacientes!$A:$A, MATCH("Pendente|44", Pacientes!$U:$U, 0)), "")</f>
        <v/>
      </c>
      <c r="W46" s="22" t="str">
        <f aca="false" t="array" ref="W46:W46">IFERROR(INDEX(Pacientes!$S:$S, MATCH("Pendente|44", Pacientes!$U:$U, 0)), "")</f>
        <v/>
      </c>
      <c r="Y46" s="22" t="str">
        <f aca="false" t="array" ref="Y46:Y46">IFERROR(INDEX(Pacientes!$A:$A, MATCH("Não Precisa no Momento|44", Pacientes!$U:$U, 0)), "")</f>
        <v/>
      </c>
      <c r="Z46" s="22" t="str">
        <f aca="false" t="array" ref="Z46:Z46">IFERROR(INDEX(Pacientes!$S:$S, MATCH("Não Precisa no Momento|44", Pacientes!$U:$U, 0)), "")</f>
        <v/>
      </c>
    </row>
    <row r="47" customFormat="false" ht="15" hidden="false" customHeight="true" outlineLevel="0" collapsed="false">
      <c r="A47" s="22" t="str">
        <f aca="false" t="array" ref="A47:A47">IFERROR(INDEX(Pacientes!$A:$A, MATCH("Novo Paciente|45", Pacientes!$U:$U, 0)), "")</f>
        <v/>
      </c>
      <c r="B47" s="23" t="str">
        <f aca="false" t="array" ref="B47:B47">IFERROR(INDEX(Pacientes!$G:$G, MATCH("Novo Paciente|45", Pacientes!$U:$U, 0)), "")</f>
        <v/>
      </c>
      <c r="D47" s="22" t="str">
        <f aca="false" t="array" ref="D47:D47">IFERROR(INDEX(Pacientes!$A:$A, MATCH("Consulta Marcada|45", Pacientes!$U:$U, 0)), "")</f>
        <v/>
      </c>
      <c r="E47" s="23" t="str">
        <f aca="false" t="array" ref="E47:E47">IFERROR(INDEX(Pacientes!$I:$I, MATCH("Consulta Marcada|45", Pacientes!$U:$U, 0)), "")</f>
        <v/>
      </c>
      <c r="G47" s="22" t="str">
        <f aca="false" t="array" ref="G47:G47">IFERROR(INDEX(Pacientes!$A:$A, MATCH("Não Compareceu|45", Pacientes!$U:$U, 0)), "")</f>
        <v/>
      </c>
      <c r="H47" s="23" t="str">
        <f aca="false" t="array" ref="H47:H47">IFERROR(INDEX(Pacientes!$I:$I, MATCH("Não Compareceu|45", Pacientes!$U:$U, 0)), "")</f>
        <v/>
      </c>
      <c r="J47" s="22" t="str">
        <f aca="false" t="array" ref="J47:J47">IFERROR(INDEX(Pacientes!$A:$A, MATCH("Compareceu|45", Pacientes!$U:$U, 0)), "")</f>
        <v/>
      </c>
      <c r="K47" s="22" t="str">
        <f aca="false" t="array" ref="K47:K47">IFERROR(INDEX(Pacientes!$K:$K, MATCH("Compareceu|45", Pacientes!$U:$U, 0)), "")</f>
        <v/>
      </c>
      <c r="M47" s="22" t="str">
        <f aca="false" t="array" ref="M47:M47">IFERROR(INDEX(Pacientes!$A:$A, MATCH("Plano de Tratamento|45", Pacientes!$U:$U, 0)), "")</f>
        <v/>
      </c>
      <c r="N47" s="24" t="str">
        <f aca="false" t="array" ref="N47:N47">IFERROR(INDEX(Pacientes!$M:$M, MATCH("Plano de Tratamento|45", Pacientes!$U:$U, 0)), "")</f>
        <v/>
      </c>
      <c r="P47" s="22" t="str">
        <f aca="false" t="array" ref="P47:P47">IFERROR(INDEX(Pacientes!$A:$A, MATCH("Fechado|45", Pacientes!$X:$X, 0)), "")</f>
        <v/>
      </c>
      <c r="Q47" s="24" t="str">
        <f aca="false" t="array" ref="Q47:Q47">IFERROR(INDEX(Pacientes!$O:$O, MATCH("Fechado|45", Pacientes!$X:$X, 0)), "")</f>
        <v/>
      </c>
      <c r="S47" s="22" t="str">
        <f aca="false" t="array" ref="S47:S47">IFERROR(INDEX(Pacientes!$A:$A, MATCH("Perdido|45", Pacientes!$U:$U, 0)), "")</f>
        <v/>
      </c>
      <c r="T47" s="22" t="str">
        <f aca="false" t="array" ref="T47:T47">IFERROR(INDEX(Pacientes!$Q:$Q, MATCH("Perdido|45", Pacientes!$U:$U, 0)), "")</f>
        <v/>
      </c>
      <c r="V47" s="22" t="str">
        <f aca="false" t="array" ref="V47:V47">IFERROR(INDEX(Pacientes!$A:$A, MATCH("Pendente|45", Pacientes!$U:$U, 0)), "")</f>
        <v/>
      </c>
      <c r="W47" s="22" t="str">
        <f aca="false" t="array" ref="W47:W47">IFERROR(INDEX(Pacientes!$S:$S, MATCH("Pendente|45", Pacientes!$U:$U, 0)), "")</f>
        <v/>
      </c>
      <c r="Y47" s="22" t="str">
        <f aca="false" t="array" ref="Y47:Y47">IFERROR(INDEX(Pacientes!$A:$A, MATCH("Não Precisa no Momento|45", Pacientes!$U:$U, 0)), "")</f>
        <v/>
      </c>
      <c r="Z47" s="22" t="str">
        <f aca="false" t="array" ref="Z47:Z47">IFERROR(INDEX(Pacientes!$S:$S, MATCH("Não Precisa no Momento|45", Pacientes!$U:$U, 0)), "")</f>
        <v/>
      </c>
    </row>
    <row r="48" customFormat="false" ht="15" hidden="false" customHeight="true" outlineLevel="0" collapsed="false">
      <c r="A48" s="22" t="str">
        <f aca="false" t="array" ref="A48:A48">IFERROR(INDEX(Pacientes!$A:$A, MATCH("Novo Paciente|46", Pacientes!$U:$U, 0)), "")</f>
        <v/>
      </c>
      <c r="B48" s="23" t="str">
        <f aca="false" t="array" ref="B48:B48">IFERROR(INDEX(Pacientes!$G:$G, MATCH("Novo Paciente|46", Pacientes!$U:$U, 0)), "")</f>
        <v/>
      </c>
      <c r="D48" s="22" t="str">
        <f aca="false" t="array" ref="D48:D48">IFERROR(INDEX(Pacientes!$A:$A, MATCH("Consulta Marcada|46", Pacientes!$U:$U, 0)), "")</f>
        <v/>
      </c>
      <c r="E48" s="23" t="str">
        <f aca="false" t="array" ref="E48:E48">IFERROR(INDEX(Pacientes!$I:$I, MATCH("Consulta Marcada|46", Pacientes!$U:$U, 0)), "")</f>
        <v/>
      </c>
      <c r="G48" s="22" t="str">
        <f aca="false" t="array" ref="G48:G48">IFERROR(INDEX(Pacientes!$A:$A, MATCH("Não Compareceu|46", Pacientes!$U:$U, 0)), "")</f>
        <v/>
      </c>
      <c r="H48" s="23" t="str">
        <f aca="false" t="array" ref="H48:H48">IFERROR(INDEX(Pacientes!$I:$I, MATCH("Não Compareceu|46", Pacientes!$U:$U, 0)), "")</f>
        <v/>
      </c>
      <c r="J48" s="22" t="str">
        <f aca="false" t="array" ref="J48:J48">IFERROR(INDEX(Pacientes!$A:$A, MATCH("Compareceu|46", Pacientes!$U:$U, 0)), "")</f>
        <v/>
      </c>
      <c r="K48" s="22" t="str">
        <f aca="false" t="array" ref="K48:K48">IFERROR(INDEX(Pacientes!$K:$K, MATCH("Compareceu|46", Pacientes!$U:$U, 0)), "")</f>
        <v/>
      </c>
      <c r="M48" s="22" t="str">
        <f aca="false" t="array" ref="M48:M48">IFERROR(INDEX(Pacientes!$A:$A, MATCH("Plano de Tratamento|46", Pacientes!$U:$U, 0)), "")</f>
        <v/>
      </c>
      <c r="N48" s="24" t="str">
        <f aca="false" t="array" ref="N48:N48">IFERROR(INDEX(Pacientes!$M:$M, MATCH("Plano de Tratamento|46", Pacientes!$U:$U, 0)), "")</f>
        <v/>
      </c>
      <c r="P48" s="22" t="str">
        <f aca="false" t="array" ref="P48:P48">IFERROR(INDEX(Pacientes!$A:$A, MATCH("Fechado|46", Pacientes!$X:$X, 0)), "")</f>
        <v/>
      </c>
      <c r="Q48" s="24" t="str">
        <f aca="false" t="array" ref="Q48:Q48">IFERROR(INDEX(Pacientes!$O:$O, MATCH("Fechado|46", Pacientes!$X:$X, 0)), "")</f>
        <v/>
      </c>
      <c r="S48" s="22" t="str">
        <f aca="false" t="array" ref="S48:S48">IFERROR(INDEX(Pacientes!$A:$A, MATCH("Perdido|46", Pacientes!$U:$U, 0)), "")</f>
        <v/>
      </c>
      <c r="T48" s="22" t="str">
        <f aca="false" t="array" ref="T48:T48">IFERROR(INDEX(Pacientes!$Q:$Q, MATCH("Perdido|46", Pacientes!$U:$U, 0)), "")</f>
        <v/>
      </c>
      <c r="V48" s="22" t="str">
        <f aca="false" t="array" ref="V48:V48">IFERROR(INDEX(Pacientes!$A:$A, MATCH("Pendente|46", Pacientes!$U:$U, 0)), "")</f>
        <v/>
      </c>
      <c r="W48" s="22" t="str">
        <f aca="false" t="array" ref="W48:W48">IFERROR(INDEX(Pacientes!$S:$S, MATCH("Pendente|46", Pacientes!$U:$U, 0)), "")</f>
        <v/>
      </c>
      <c r="Y48" s="22" t="str">
        <f aca="false" t="array" ref="Y48:Y48">IFERROR(INDEX(Pacientes!$A:$A, MATCH("Não Precisa no Momento|46", Pacientes!$U:$U, 0)), "")</f>
        <v/>
      </c>
      <c r="Z48" s="22" t="str">
        <f aca="false" t="array" ref="Z48:Z48">IFERROR(INDEX(Pacientes!$S:$S, MATCH("Não Precisa no Momento|46", Pacientes!$U:$U, 0)), "")</f>
        <v/>
      </c>
    </row>
    <row r="49" customFormat="false" ht="15" hidden="false" customHeight="true" outlineLevel="0" collapsed="false">
      <c r="A49" s="22" t="str">
        <f aca="false" t="array" ref="A49:A49">IFERROR(INDEX(Pacientes!$A:$A, MATCH("Novo Paciente|47", Pacientes!$U:$U, 0)), "")</f>
        <v/>
      </c>
      <c r="B49" s="23" t="str">
        <f aca="false" t="array" ref="B49:B49">IFERROR(INDEX(Pacientes!$G:$G, MATCH("Novo Paciente|47", Pacientes!$U:$U, 0)), "")</f>
        <v/>
      </c>
      <c r="D49" s="22" t="str">
        <f aca="false" t="array" ref="D49:D49">IFERROR(INDEX(Pacientes!$A:$A, MATCH("Consulta Marcada|47", Pacientes!$U:$U, 0)), "")</f>
        <v/>
      </c>
      <c r="E49" s="23" t="str">
        <f aca="false" t="array" ref="E49:E49">IFERROR(INDEX(Pacientes!$I:$I, MATCH("Consulta Marcada|47", Pacientes!$U:$U, 0)), "")</f>
        <v/>
      </c>
      <c r="G49" s="22" t="str">
        <f aca="false" t="array" ref="G49:G49">IFERROR(INDEX(Pacientes!$A:$A, MATCH("Não Compareceu|47", Pacientes!$U:$U, 0)), "")</f>
        <v/>
      </c>
      <c r="H49" s="23" t="str">
        <f aca="false" t="array" ref="H49:H49">IFERROR(INDEX(Pacientes!$I:$I, MATCH("Não Compareceu|47", Pacientes!$U:$U, 0)), "")</f>
        <v/>
      </c>
      <c r="J49" s="22" t="str">
        <f aca="false" t="array" ref="J49:J49">IFERROR(INDEX(Pacientes!$A:$A, MATCH("Compareceu|47", Pacientes!$U:$U, 0)), "")</f>
        <v/>
      </c>
      <c r="K49" s="22" t="str">
        <f aca="false" t="array" ref="K49:K49">IFERROR(INDEX(Pacientes!$K:$K, MATCH("Compareceu|47", Pacientes!$U:$U, 0)), "")</f>
        <v/>
      </c>
      <c r="M49" s="22" t="str">
        <f aca="false" t="array" ref="M49:M49">IFERROR(INDEX(Pacientes!$A:$A, MATCH("Plano de Tratamento|47", Pacientes!$U:$U, 0)), "")</f>
        <v/>
      </c>
      <c r="N49" s="24" t="str">
        <f aca="false" t="array" ref="N49:N49">IFERROR(INDEX(Pacientes!$M:$M, MATCH("Plano de Tratamento|47", Pacientes!$U:$U, 0)), "")</f>
        <v/>
      </c>
      <c r="P49" s="22" t="str">
        <f aca="false" t="array" ref="P49:P49">IFERROR(INDEX(Pacientes!$A:$A, MATCH("Fechado|47", Pacientes!$X:$X, 0)), "")</f>
        <v/>
      </c>
      <c r="Q49" s="24" t="str">
        <f aca="false" t="array" ref="Q49:Q49">IFERROR(INDEX(Pacientes!$O:$O, MATCH("Fechado|47", Pacientes!$X:$X, 0)), "")</f>
        <v/>
      </c>
      <c r="S49" s="22" t="str">
        <f aca="false" t="array" ref="S49:S49">IFERROR(INDEX(Pacientes!$A:$A, MATCH("Perdido|47", Pacientes!$U:$U, 0)), "")</f>
        <v/>
      </c>
      <c r="T49" s="22" t="str">
        <f aca="false" t="array" ref="T49:T49">IFERROR(INDEX(Pacientes!$Q:$Q, MATCH("Perdido|47", Pacientes!$U:$U, 0)), "")</f>
        <v/>
      </c>
      <c r="V49" s="22" t="str">
        <f aca="false" t="array" ref="V49:V49">IFERROR(INDEX(Pacientes!$A:$A, MATCH("Pendente|47", Pacientes!$U:$U, 0)), "")</f>
        <v/>
      </c>
      <c r="W49" s="22" t="str">
        <f aca="false" t="array" ref="W49:W49">IFERROR(INDEX(Pacientes!$S:$S, MATCH("Pendente|47", Pacientes!$U:$U, 0)), "")</f>
        <v/>
      </c>
      <c r="Y49" s="22" t="str">
        <f aca="false" t="array" ref="Y49:Y49">IFERROR(INDEX(Pacientes!$A:$A, MATCH("Não Precisa no Momento|47", Pacientes!$U:$U, 0)), "")</f>
        <v/>
      </c>
      <c r="Z49" s="22" t="str">
        <f aca="false" t="array" ref="Z49:Z49">IFERROR(INDEX(Pacientes!$S:$S, MATCH("Não Precisa no Momento|47", Pacientes!$U:$U, 0)), "")</f>
        <v/>
      </c>
    </row>
    <row r="50" customFormat="false" ht="15" hidden="false" customHeight="true" outlineLevel="0" collapsed="false">
      <c r="A50" s="22" t="str">
        <f aca="false" t="array" ref="A50:A50">IFERROR(INDEX(Pacientes!$A:$A, MATCH("Novo Paciente|48", Pacientes!$U:$U, 0)), "")</f>
        <v/>
      </c>
      <c r="B50" s="23" t="str">
        <f aca="false" t="array" ref="B50:B50">IFERROR(INDEX(Pacientes!$G:$G, MATCH("Novo Paciente|48", Pacientes!$U:$U, 0)), "")</f>
        <v/>
      </c>
      <c r="D50" s="22" t="str">
        <f aca="false" t="array" ref="D50:D50">IFERROR(INDEX(Pacientes!$A:$A, MATCH("Consulta Marcada|48", Pacientes!$U:$U, 0)), "")</f>
        <v/>
      </c>
      <c r="E50" s="23" t="str">
        <f aca="false" t="array" ref="E50:E50">IFERROR(INDEX(Pacientes!$I:$I, MATCH("Consulta Marcada|48", Pacientes!$U:$U, 0)), "")</f>
        <v/>
      </c>
      <c r="G50" s="22" t="str">
        <f aca="false" t="array" ref="G50:G50">IFERROR(INDEX(Pacientes!$A:$A, MATCH("Não Compareceu|48", Pacientes!$U:$U, 0)), "")</f>
        <v/>
      </c>
      <c r="H50" s="23" t="str">
        <f aca="false" t="array" ref="H50:H50">IFERROR(INDEX(Pacientes!$I:$I, MATCH("Não Compareceu|48", Pacientes!$U:$U, 0)), "")</f>
        <v/>
      </c>
      <c r="J50" s="22" t="str">
        <f aca="false" t="array" ref="J50:J50">IFERROR(INDEX(Pacientes!$A:$A, MATCH("Compareceu|48", Pacientes!$U:$U, 0)), "")</f>
        <v/>
      </c>
      <c r="K50" s="22" t="str">
        <f aca="false" t="array" ref="K50:K50">IFERROR(INDEX(Pacientes!$K:$K, MATCH("Compareceu|48", Pacientes!$U:$U, 0)), "")</f>
        <v/>
      </c>
      <c r="M50" s="22" t="str">
        <f aca="false" t="array" ref="M50:M50">IFERROR(INDEX(Pacientes!$A:$A, MATCH("Plano de Tratamento|48", Pacientes!$U:$U, 0)), "")</f>
        <v/>
      </c>
      <c r="N50" s="24" t="str">
        <f aca="false" t="array" ref="N50:N50">IFERROR(INDEX(Pacientes!$M:$M, MATCH("Plano de Tratamento|48", Pacientes!$U:$U, 0)), "")</f>
        <v/>
      </c>
      <c r="P50" s="22" t="str">
        <f aca="false" t="array" ref="P50:P50">IFERROR(INDEX(Pacientes!$A:$A, MATCH("Fechado|48", Pacientes!$X:$X, 0)), "")</f>
        <v/>
      </c>
      <c r="Q50" s="24" t="str">
        <f aca="false" t="array" ref="Q50:Q50">IFERROR(INDEX(Pacientes!$O:$O, MATCH("Fechado|48", Pacientes!$X:$X, 0)), "")</f>
        <v/>
      </c>
      <c r="S50" s="22" t="str">
        <f aca="false" t="array" ref="S50:S50">IFERROR(INDEX(Pacientes!$A:$A, MATCH("Perdido|48", Pacientes!$U:$U, 0)), "")</f>
        <v/>
      </c>
      <c r="T50" s="22" t="str">
        <f aca="false" t="array" ref="T50:T50">IFERROR(INDEX(Pacientes!$Q:$Q, MATCH("Perdido|48", Pacientes!$U:$U, 0)), "")</f>
        <v/>
      </c>
      <c r="V50" s="22" t="str">
        <f aca="false" t="array" ref="V50:V50">IFERROR(INDEX(Pacientes!$A:$A, MATCH("Pendente|48", Pacientes!$U:$U, 0)), "")</f>
        <v/>
      </c>
      <c r="W50" s="22" t="str">
        <f aca="false" t="array" ref="W50:W50">IFERROR(INDEX(Pacientes!$S:$S, MATCH("Pendente|48", Pacientes!$U:$U, 0)), "")</f>
        <v/>
      </c>
      <c r="Y50" s="22" t="str">
        <f aca="false" t="array" ref="Y50:Y50">IFERROR(INDEX(Pacientes!$A:$A, MATCH("Não Precisa no Momento|48", Pacientes!$U:$U, 0)), "")</f>
        <v/>
      </c>
      <c r="Z50" s="22" t="str">
        <f aca="false" t="array" ref="Z50:Z50">IFERROR(INDEX(Pacientes!$S:$S, MATCH("Não Precisa no Momento|48", Pacientes!$U:$U, 0)), "")</f>
        <v/>
      </c>
    </row>
    <row r="51" customFormat="false" ht="15" hidden="false" customHeight="true" outlineLevel="0" collapsed="false">
      <c r="A51" s="22" t="str">
        <f aca="false" t="array" ref="A51:A51">IFERROR(INDEX(Pacientes!$A:$A, MATCH("Novo Paciente|49", Pacientes!$U:$U, 0)), "")</f>
        <v/>
      </c>
      <c r="B51" s="23" t="str">
        <f aca="false" t="array" ref="B51:B51">IFERROR(INDEX(Pacientes!$G:$G, MATCH("Novo Paciente|49", Pacientes!$U:$U, 0)), "")</f>
        <v/>
      </c>
      <c r="D51" s="22" t="str">
        <f aca="false" t="array" ref="D51:D51">IFERROR(INDEX(Pacientes!$A:$A, MATCH("Consulta Marcada|49", Pacientes!$U:$U, 0)), "")</f>
        <v/>
      </c>
      <c r="E51" s="23" t="str">
        <f aca="false" t="array" ref="E51:E51">IFERROR(INDEX(Pacientes!$I:$I, MATCH("Consulta Marcada|49", Pacientes!$U:$U, 0)), "")</f>
        <v/>
      </c>
      <c r="G51" s="22" t="str">
        <f aca="false" t="array" ref="G51:G51">IFERROR(INDEX(Pacientes!$A:$A, MATCH("Não Compareceu|49", Pacientes!$U:$U, 0)), "")</f>
        <v/>
      </c>
      <c r="H51" s="23" t="str">
        <f aca="false" t="array" ref="H51:H51">IFERROR(INDEX(Pacientes!$I:$I, MATCH("Não Compareceu|49", Pacientes!$U:$U, 0)), "")</f>
        <v/>
      </c>
      <c r="J51" s="22" t="str">
        <f aca="false" t="array" ref="J51:J51">IFERROR(INDEX(Pacientes!$A:$A, MATCH("Compareceu|49", Pacientes!$U:$U, 0)), "")</f>
        <v/>
      </c>
      <c r="K51" s="22" t="str">
        <f aca="false" t="array" ref="K51:K51">IFERROR(INDEX(Pacientes!$K:$K, MATCH("Compareceu|49", Pacientes!$U:$U, 0)), "")</f>
        <v/>
      </c>
      <c r="M51" s="22" t="str">
        <f aca="false" t="array" ref="M51:M51">IFERROR(INDEX(Pacientes!$A:$A, MATCH("Plano de Tratamento|49", Pacientes!$U:$U, 0)), "")</f>
        <v/>
      </c>
      <c r="N51" s="24" t="str">
        <f aca="false" t="array" ref="N51:N51">IFERROR(INDEX(Pacientes!$M:$M, MATCH("Plano de Tratamento|49", Pacientes!$U:$U, 0)), "")</f>
        <v/>
      </c>
      <c r="P51" s="22" t="str">
        <f aca="false" t="array" ref="P51:P51">IFERROR(INDEX(Pacientes!$A:$A, MATCH("Fechado|49", Pacientes!$X:$X, 0)), "")</f>
        <v/>
      </c>
      <c r="Q51" s="24" t="str">
        <f aca="false" t="array" ref="Q51:Q51">IFERROR(INDEX(Pacientes!$O:$O, MATCH("Fechado|49", Pacientes!$X:$X, 0)), "")</f>
        <v/>
      </c>
      <c r="S51" s="22" t="str">
        <f aca="false" t="array" ref="S51:S51">IFERROR(INDEX(Pacientes!$A:$A, MATCH("Perdido|49", Pacientes!$U:$U, 0)), "")</f>
        <v/>
      </c>
      <c r="T51" s="22" t="str">
        <f aca="false" t="array" ref="T51:T51">IFERROR(INDEX(Pacientes!$Q:$Q, MATCH("Perdido|49", Pacientes!$U:$U, 0)), "")</f>
        <v/>
      </c>
      <c r="V51" s="22" t="str">
        <f aca="false" t="array" ref="V51:V51">IFERROR(INDEX(Pacientes!$A:$A, MATCH("Pendente|49", Pacientes!$U:$U, 0)), "")</f>
        <v/>
      </c>
      <c r="W51" s="22" t="str">
        <f aca="false" t="array" ref="W51:W51">IFERROR(INDEX(Pacientes!$S:$S, MATCH("Pendente|49", Pacientes!$U:$U, 0)), "")</f>
        <v/>
      </c>
      <c r="Y51" s="22" t="str">
        <f aca="false" t="array" ref="Y51:Y51">IFERROR(INDEX(Pacientes!$A:$A, MATCH("Não Precisa no Momento|49", Pacientes!$U:$U, 0)), "")</f>
        <v/>
      </c>
      <c r="Z51" s="22" t="str">
        <f aca="false" t="array" ref="Z51:Z51">IFERROR(INDEX(Pacientes!$S:$S, MATCH("Não Precisa no Momento|49", Pacientes!$U:$U, 0)), "")</f>
        <v/>
      </c>
    </row>
    <row r="52" customFormat="false" ht="15" hidden="false" customHeight="true" outlineLevel="0" collapsed="false">
      <c r="A52" s="22" t="str">
        <f aca="false" t="array" ref="A52:A52">IFERROR(INDEX(Pacientes!$A:$A, MATCH("Novo Paciente|50", Pacientes!$U:$U, 0)), "")</f>
        <v/>
      </c>
      <c r="B52" s="23" t="str">
        <f aca="false" t="array" ref="B52:B52">IFERROR(INDEX(Pacientes!$G:$G, MATCH("Novo Paciente|50", Pacientes!$U:$U, 0)), "")</f>
        <v/>
      </c>
      <c r="D52" s="22" t="str">
        <f aca="false" t="array" ref="D52:D52">IFERROR(INDEX(Pacientes!$A:$A, MATCH("Consulta Marcada|50", Pacientes!$U:$U, 0)), "")</f>
        <v/>
      </c>
      <c r="E52" s="23" t="str">
        <f aca="false" t="array" ref="E52:E52">IFERROR(INDEX(Pacientes!$I:$I, MATCH("Consulta Marcada|50", Pacientes!$U:$U, 0)), "")</f>
        <v/>
      </c>
      <c r="G52" s="22" t="str">
        <f aca="false" t="array" ref="G52:G52">IFERROR(INDEX(Pacientes!$A:$A, MATCH("Não Compareceu|50", Pacientes!$U:$U, 0)), "")</f>
        <v/>
      </c>
      <c r="H52" s="23" t="str">
        <f aca="false" t="array" ref="H52:H52">IFERROR(INDEX(Pacientes!$I:$I, MATCH("Não Compareceu|50", Pacientes!$U:$U, 0)), "")</f>
        <v/>
      </c>
      <c r="J52" s="22" t="str">
        <f aca="false" t="array" ref="J52:J52">IFERROR(INDEX(Pacientes!$A:$A, MATCH("Compareceu|50", Pacientes!$U:$U, 0)), "")</f>
        <v/>
      </c>
      <c r="K52" s="22" t="str">
        <f aca="false" t="array" ref="K52:K52">IFERROR(INDEX(Pacientes!$K:$K, MATCH("Compareceu|50", Pacientes!$U:$U, 0)), "")</f>
        <v/>
      </c>
      <c r="M52" s="22" t="str">
        <f aca="false" t="array" ref="M52:M52">IFERROR(INDEX(Pacientes!$A:$A, MATCH("Plano de Tratamento|50", Pacientes!$U:$U, 0)), "")</f>
        <v/>
      </c>
      <c r="N52" s="24" t="str">
        <f aca="false" t="array" ref="N52:N52">IFERROR(INDEX(Pacientes!$M:$M, MATCH("Plano de Tratamento|50", Pacientes!$U:$U, 0)), "")</f>
        <v/>
      </c>
      <c r="P52" s="22" t="str">
        <f aca="false" t="array" ref="P52:P52">IFERROR(INDEX(Pacientes!$A:$A, MATCH("Fechado|50", Pacientes!$X:$X, 0)), "")</f>
        <v/>
      </c>
      <c r="Q52" s="24" t="str">
        <f aca="false" t="array" ref="Q52:Q52">IFERROR(INDEX(Pacientes!$O:$O, MATCH("Fechado|50", Pacientes!$X:$X, 0)), "")</f>
        <v/>
      </c>
      <c r="S52" s="22" t="str">
        <f aca="false" t="array" ref="S52:S52">IFERROR(INDEX(Pacientes!$A:$A, MATCH("Perdido|50", Pacientes!$U:$U, 0)), "")</f>
        <v/>
      </c>
      <c r="T52" s="22" t="str">
        <f aca="false" t="array" ref="T52:T52">IFERROR(INDEX(Pacientes!$Q:$Q, MATCH("Perdido|50", Pacientes!$U:$U, 0)), "")</f>
        <v/>
      </c>
      <c r="V52" s="22" t="str">
        <f aca="false" t="array" ref="V52:V52">IFERROR(INDEX(Pacientes!$A:$A, MATCH("Pendente|50", Pacientes!$U:$U, 0)), "")</f>
        <v/>
      </c>
      <c r="W52" s="22" t="str">
        <f aca="false" t="array" ref="W52:W52">IFERROR(INDEX(Pacientes!$S:$S, MATCH("Pendente|50", Pacientes!$U:$U, 0)), "")</f>
        <v/>
      </c>
      <c r="Y52" s="22" t="str">
        <f aca="false" t="array" ref="Y52:Y52">IFERROR(INDEX(Pacientes!$A:$A, MATCH("Não Precisa no Momento|50", Pacientes!$U:$U, 0)), "")</f>
        <v/>
      </c>
      <c r="Z52" s="22" t="str">
        <f aca="false" t="array" ref="Z52:Z52">IFERROR(INDEX(Pacientes!$S:$S, MATCH("Não Precisa no Momento|50", Pacientes!$U:$U, 0)), "")</f>
        <v/>
      </c>
    </row>
    <row r="53" customFormat="false" ht="15" hidden="false" customHeight="true" outlineLevel="0" collapsed="false">
      <c r="A53" s="22" t="str">
        <f aca="false" t="array" ref="A53:A53">IFERROR(INDEX(Pacientes!$A:$A, MATCH("Novo Paciente|51", Pacientes!$U:$U, 0)), "")</f>
        <v/>
      </c>
      <c r="B53" s="23" t="str">
        <f aca="false" t="array" ref="B53:B53">IFERROR(INDEX(Pacientes!$G:$G, MATCH("Novo Paciente|51", Pacientes!$U:$U, 0)), "")</f>
        <v/>
      </c>
      <c r="D53" s="22" t="str">
        <f aca="false" t="array" ref="D53:D53">IFERROR(INDEX(Pacientes!$A:$A, MATCH("Consulta Marcada|51", Pacientes!$U:$U, 0)), "")</f>
        <v/>
      </c>
      <c r="E53" s="23" t="str">
        <f aca="false" t="array" ref="E53:E53">IFERROR(INDEX(Pacientes!$I:$I, MATCH("Consulta Marcada|51", Pacientes!$U:$U, 0)), "")</f>
        <v/>
      </c>
      <c r="G53" s="22" t="str">
        <f aca="false" t="array" ref="G53:G53">IFERROR(INDEX(Pacientes!$A:$A, MATCH("Não Compareceu|51", Pacientes!$U:$U, 0)), "")</f>
        <v/>
      </c>
      <c r="H53" s="23" t="str">
        <f aca="false" t="array" ref="H53:H53">IFERROR(INDEX(Pacientes!$I:$I, MATCH("Não Compareceu|51", Pacientes!$U:$U, 0)), "")</f>
        <v/>
      </c>
      <c r="J53" s="22" t="str">
        <f aca="false" t="array" ref="J53:J53">IFERROR(INDEX(Pacientes!$A:$A, MATCH("Compareceu|51", Pacientes!$U:$U, 0)), "")</f>
        <v/>
      </c>
      <c r="K53" s="22" t="str">
        <f aca="false" t="array" ref="K53:K53">IFERROR(INDEX(Pacientes!$K:$K, MATCH("Compareceu|51", Pacientes!$U:$U, 0)), "")</f>
        <v/>
      </c>
      <c r="M53" s="22" t="str">
        <f aca="false" t="array" ref="M53:M53">IFERROR(INDEX(Pacientes!$A:$A, MATCH("Plano de Tratamento|51", Pacientes!$U:$U, 0)), "")</f>
        <v/>
      </c>
      <c r="N53" s="24" t="str">
        <f aca="false" t="array" ref="N53:N53">IFERROR(INDEX(Pacientes!$M:$M, MATCH("Plano de Tratamento|51", Pacientes!$U:$U, 0)), "")</f>
        <v/>
      </c>
      <c r="P53" s="22" t="str">
        <f aca="false" t="array" ref="P53:P53">IFERROR(INDEX(Pacientes!$A:$A, MATCH("Fechado|51", Pacientes!$X:$X, 0)), "")</f>
        <v/>
      </c>
      <c r="Q53" s="24" t="str">
        <f aca="false" t="array" ref="Q53:Q53">IFERROR(INDEX(Pacientes!$O:$O, MATCH("Fechado|51", Pacientes!$X:$X, 0)), "")</f>
        <v/>
      </c>
      <c r="S53" s="22" t="str">
        <f aca="false" t="array" ref="S53:S53">IFERROR(INDEX(Pacientes!$A:$A, MATCH("Perdido|51", Pacientes!$U:$U, 0)), "")</f>
        <v/>
      </c>
      <c r="T53" s="22" t="str">
        <f aca="false" t="array" ref="T53:T53">IFERROR(INDEX(Pacientes!$Q:$Q, MATCH("Perdido|51", Pacientes!$U:$U, 0)), "")</f>
        <v/>
      </c>
      <c r="V53" s="22" t="str">
        <f aca="false" t="array" ref="V53:V53">IFERROR(INDEX(Pacientes!$A:$A, MATCH("Pendente|51", Pacientes!$U:$U, 0)), "")</f>
        <v/>
      </c>
      <c r="W53" s="22" t="str">
        <f aca="false" t="array" ref="W53:W53">IFERROR(INDEX(Pacientes!$S:$S, MATCH("Pendente|51", Pacientes!$U:$U, 0)), "")</f>
        <v/>
      </c>
      <c r="Y53" s="22" t="str">
        <f aca="false" t="array" ref="Y53:Y53">IFERROR(INDEX(Pacientes!$A:$A, MATCH("Não Precisa no Momento|51", Pacientes!$U:$U, 0)), "")</f>
        <v/>
      </c>
      <c r="Z53" s="22" t="str">
        <f aca="false" t="array" ref="Z53:Z53">IFERROR(INDEX(Pacientes!$S:$S, MATCH("Não Precisa no Momento|51", Pacientes!$U:$U, 0)), "")</f>
        <v/>
      </c>
    </row>
    <row r="54" customFormat="false" ht="15" hidden="false" customHeight="true" outlineLevel="0" collapsed="false">
      <c r="A54" s="22" t="str">
        <f aca="false" t="array" ref="A54:A54">IFERROR(INDEX(Pacientes!$A:$A, MATCH("Novo Paciente|52", Pacientes!$U:$U, 0)), "")</f>
        <v/>
      </c>
      <c r="B54" s="23" t="str">
        <f aca="false" t="array" ref="B54:B54">IFERROR(INDEX(Pacientes!$G:$G, MATCH("Novo Paciente|52", Pacientes!$U:$U, 0)), "")</f>
        <v/>
      </c>
      <c r="D54" s="22" t="str">
        <f aca="false" t="array" ref="D54:D54">IFERROR(INDEX(Pacientes!$A:$A, MATCH("Consulta Marcada|52", Pacientes!$U:$U, 0)), "")</f>
        <v/>
      </c>
      <c r="E54" s="23" t="str">
        <f aca="false" t="array" ref="E54:E54">IFERROR(INDEX(Pacientes!$I:$I, MATCH("Consulta Marcada|52", Pacientes!$U:$U, 0)), "")</f>
        <v/>
      </c>
      <c r="G54" s="22" t="str">
        <f aca="false" t="array" ref="G54:G54">IFERROR(INDEX(Pacientes!$A:$A, MATCH("Não Compareceu|52", Pacientes!$U:$U, 0)), "")</f>
        <v/>
      </c>
      <c r="H54" s="23" t="str">
        <f aca="false" t="array" ref="H54:H54">IFERROR(INDEX(Pacientes!$I:$I, MATCH("Não Compareceu|52", Pacientes!$U:$U, 0)), "")</f>
        <v/>
      </c>
      <c r="J54" s="22" t="str">
        <f aca="false" t="array" ref="J54:J54">IFERROR(INDEX(Pacientes!$A:$A, MATCH("Compareceu|52", Pacientes!$U:$U, 0)), "")</f>
        <v/>
      </c>
      <c r="K54" s="22" t="str">
        <f aca="false" t="array" ref="K54:K54">IFERROR(INDEX(Pacientes!$K:$K, MATCH("Compareceu|52", Pacientes!$U:$U, 0)), "")</f>
        <v/>
      </c>
      <c r="M54" s="22" t="str">
        <f aca="false" t="array" ref="M54:M54">IFERROR(INDEX(Pacientes!$A:$A, MATCH("Plano de Tratamento|52", Pacientes!$U:$U, 0)), "")</f>
        <v/>
      </c>
      <c r="N54" s="24" t="str">
        <f aca="false" t="array" ref="N54:N54">IFERROR(INDEX(Pacientes!$M:$M, MATCH("Plano de Tratamento|52", Pacientes!$U:$U, 0)), "")</f>
        <v/>
      </c>
      <c r="P54" s="22" t="str">
        <f aca="false" t="array" ref="P54:P54">IFERROR(INDEX(Pacientes!$A:$A, MATCH("Fechado|52", Pacientes!$X:$X, 0)), "")</f>
        <v/>
      </c>
      <c r="Q54" s="24" t="str">
        <f aca="false" t="array" ref="Q54:Q54">IFERROR(INDEX(Pacientes!$O:$O, MATCH("Fechado|52", Pacientes!$X:$X, 0)), "")</f>
        <v/>
      </c>
      <c r="S54" s="22" t="str">
        <f aca="false" t="array" ref="S54:S54">IFERROR(INDEX(Pacientes!$A:$A, MATCH("Perdido|52", Pacientes!$U:$U, 0)), "")</f>
        <v/>
      </c>
      <c r="T54" s="22" t="str">
        <f aca="false" t="array" ref="T54:T54">IFERROR(INDEX(Pacientes!$Q:$Q, MATCH("Perdido|52", Pacientes!$U:$U, 0)), "")</f>
        <v/>
      </c>
      <c r="V54" s="22" t="str">
        <f aca="false" t="array" ref="V54:V54">IFERROR(INDEX(Pacientes!$A:$A, MATCH("Pendente|52", Pacientes!$U:$U, 0)), "")</f>
        <v/>
      </c>
      <c r="W54" s="22" t="str">
        <f aca="false" t="array" ref="W54:W54">IFERROR(INDEX(Pacientes!$S:$S, MATCH("Pendente|52", Pacientes!$U:$U, 0)), "")</f>
        <v/>
      </c>
      <c r="Y54" s="22" t="str">
        <f aca="false" t="array" ref="Y54:Y54">IFERROR(INDEX(Pacientes!$A:$A, MATCH("Não Precisa no Momento|52", Pacientes!$U:$U, 0)), "")</f>
        <v/>
      </c>
      <c r="Z54" s="22" t="str">
        <f aca="false" t="array" ref="Z54:Z54">IFERROR(INDEX(Pacientes!$S:$S, MATCH("Não Precisa no Momento|52", Pacientes!$U:$U, 0)), "")</f>
        <v/>
      </c>
    </row>
    <row r="55" customFormat="false" ht="15" hidden="false" customHeight="true" outlineLevel="0" collapsed="false">
      <c r="A55" s="22" t="str">
        <f aca="false" t="array" ref="A55:A55">IFERROR(INDEX(Pacientes!$A:$A, MATCH("Novo Paciente|53", Pacientes!$U:$U, 0)), "")</f>
        <v/>
      </c>
      <c r="B55" s="23" t="str">
        <f aca="false" t="array" ref="B55:B55">IFERROR(INDEX(Pacientes!$G:$G, MATCH("Novo Paciente|53", Pacientes!$U:$U, 0)), "")</f>
        <v/>
      </c>
      <c r="D55" s="22" t="str">
        <f aca="false" t="array" ref="D55:D55">IFERROR(INDEX(Pacientes!$A:$A, MATCH("Consulta Marcada|53", Pacientes!$U:$U, 0)), "")</f>
        <v/>
      </c>
      <c r="E55" s="23" t="str">
        <f aca="false" t="array" ref="E55:E55">IFERROR(INDEX(Pacientes!$I:$I, MATCH("Consulta Marcada|53", Pacientes!$U:$U, 0)), "")</f>
        <v/>
      </c>
      <c r="G55" s="22" t="str">
        <f aca="false" t="array" ref="G55:G55">IFERROR(INDEX(Pacientes!$A:$A, MATCH("Não Compareceu|53", Pacientes!$U:$U, 0)), "")</f>
        <v/>
      </c>
      <c r="H55" s="23" t="str">
        <f aca="false" t="array" ref="H55:H55">IFERROR(INDEX(Pacientes!$I:$I, MATCH("Não Compareceu|53", Pacientes!$U:$U, 0)), "")</f>
        <v/>
      </c>
      <c r="J55" s="22" t="str">
        <f aca="false" t="array" ref="J55:J55">IFERROR(INDEX(Pacientes!$A:$A, MATCH("Compareceu|53", Pacientes!$U:$U, 0)), "")</f>
        <v/>
      </c>
      <c r="K55" s="22" t="str">
        <f aca="false" t="array" ref="K55:K55">IFERROR(INDEX(Pacientes!$K:$K, MATCH("Compareceu|53", Pacientes!$U:$U, 0)), "")</f>
        <v/>
      </c>
      <c r="M55" s="22" t="str">
        <f aca="false" t="array" ref="M55:M55">IFERROR(INDEX(Pacientes!$A:$A, MATCH("Plano de Tratamento|53", Pacientes!$U:$U, 0)), "")</f>
        <v/>
      </c>
      <c r="N55" s="24" t="str">
        <f aca="false" t="array" ref="N55:N55">IFERROR(INDEX(Pacientes!$M:$M, MATCH("Plano de Tratamento|53", Pacientes!$U:$U, 0)), "")</f>
        <v/>
      </c>
      <c r="P55" s="22" t="str">
        <f aca="false" t="array" ref="P55:P55">IFERROR(INDEX(Pacientes!$A:$A, MATCH("Fechado|53", Pacientes!$X:$X, 0)), "")</f>
        <v/>
      </c>
      <c r="Q55" s="24" t="str">
        <f aca="false" t="array" ref="Q55:Q55">IFERROR(INDEX(Pacientes!$O:$O, MATCH("Fechado|53", Pacientes!$X:$X, 0)), "")</f>
        <v/>
      </c>
      <c r="S55" s="22" t="str">
        <f aca="false" t="array" ref="S55:S55">IFERROR(INDEX(Pacientes!$A:$A, MATCH("Perdido|53", Pacientes!$U:$U, 0)), "")</f>
        <v/>
      </c>
      <c r="T55" s="22" t="str">
        <f aca="false" t="array" ref="T55:T55">IFERROR(INDEX(Pacientes!$Q:$Q, MATCH("Perdido|53", Pacientes!$U:$U, 0)), "")</f>
        <v/>
      </c>
      <c r="V55" s="22" t="str">
        <f aca="false" t="array" ref="V55:V55">IFERROR(INDEX(Pacientes!$A:$A, MATCH("Pendente|53", Pacientes!$U:$U, 0)), "")</f>
        <v/>
      </c>
      <c r="W55" s="22" t="str">
        <f aca="false" t="array" ref="W55:W55">IFERROR(INDEX(Pacientes!$S:$S, MATCH("Pendente|53", Pacientes!$U:$U, 0)), "")</f>
        <v/>
      </c>
      <c r="Y55" s="22" t="str">
        <f aca="false" t="array" ref="Y55:Y55">IFERROR(INDEX(Pacientes!$A:$A, MATCH("Não Precisa no Momento|53", Pacientes!$U:$U, 0)), "")</f>
        <v/>
      </c>
      <c r="Z55" s="22" t="str">
        <f aca="false" t="array" ref="Z55:Z55">IFERROR(INDEX(Pacientes!$S:$S, MATCH("Não Precisa no Momento|53", Pacientes!$U:$U, 0)), "")</f>
        <v/>
      </c>
    </row>
    <row r="56" customFormat="false" ht="15" hidden="false" customHeight="true" outlineLevel="0" collapsed="false">
      <c r="A56" s="22" t="str">
        <f aca="false" t="array" ref="A56:A56">IFERROR(INDEX(Pacientes!$A:$A, MATCH("Novo Paciente|54", Pacientes!$U:$U, 0)), "")</f>
        <v/>
      </c>
      <c r="B56" s="23" t="str">
        <f aca="false" t="array" ref="B56:B56">IFERROR(INDEX(Pacientes!$G:$G, MATCH("Novo Paciente|54", Pacientes!$U:$U, 0)), "")</f>
        <v/>
      </c>
      <c r="D56" s="22" t="str">
        <f aca="false" t="array" ref="D56:D56">IFERROR(INDEX(Pacientes!$A:$A, MATCH("Consulta Marcada|54", Pacientes!$U:$U, 0)), "")</f>
        <v/>
      </c>
      <c r="E56" s="23" t="str">
        <f aca="false" t="array" ref="E56:E56">IFERROR(INDEX(Pacientes!$I:$I, MATCH("Consulta Marcada|54", Pacientes!$U:$U, 0)), "")</f>
        <v/>
      </c>
      <c r="G56" s="22" t="str">
        <f aca="false" t="array" ref="G56:G56">IFERROR(INDEX(Pacientes!$A:$A, MATCH("Não Compareceu|54", Pacientes!$U:$U, 0)), "")</f>
        <v/>
      </c>
      <c r="H56" s="23" t="str">
        <f aca="false" t="array" ref="H56:H56">IFERROR(INDEX(Pacientes!$I:$I, MATCH("Não Compareceu|54", Pacientes!$U:$U, 0)), "")</f>
        <v/>
      </c>
      <c r="J56" s="22" t="str">
        <f aca="false" t="array" ref="J56:J56">IFERROR(INDEX(Pacientes!$A:$A, MATCH("Compareceu|54", Pacientes!$U:$U, 0)), "")</f>
        <v/>
      </c>
      <c r="K56" s="22" t="str">
        <f aca="false" t="array" ref="K56:K56">IFERROR(INDEX(Pacientes!$K:$K, MATCH("Compareceu|54", Pacientes!$U:$U, 0)), "")</f>
        <v/>
      </c>
      <c r="M56" s="22" t="str">
        <f aca="false" t="array" ref="M56:M56">IFERROR(INDEX(Pacientes!$A:$A, MATCH("Plano de Tratamento|54", Pacientes!$U:$U, 0)), "")</f>
        <v/>
      </c>
      <c r="N56" s="24" t="str">
        <f aca="false" t="array" ref="N56:N56">IFERROR(INDEX(Pacientes!$M:$M, MATCH("Plano de Tratamento|54", Pacientes!$U:$U, 0)), "")</f>
        <v/>
      </c>
      <c r="P56" s="22" t="str">
        <f aca="false" t="array" ref="P56:P56">IFERROR(INDEX(Pacientes!$A:$A, MATCH("Fechado|54", Pacientes!$X:$X, 0)), "")</f>
        <v/>
      </c>
      <c r="Q56" s="24" t="str">
        <f aca="false" t="array" ref="Q56:Q56">IFERROR(INDEX(Pacientes!$O:$O, MATCH("Fechado|54", Pacientes!$X:$X, 0)), "")</f>
        <v/>
      </c>
      <c r="S56" s="22" t="str">
        <f aca="false" t="array" ref="S56:S56">IFERROR(INDEX(Pacientes!$A:$A, MATCH("Perdido|54", Pacientes!$U:$U, 0)), "")</f>
        <v/>
      </c>
      <c r="T56" s="22" t="str">
        <f aca="false" t="array" ref="T56:T56">IFERROR(INDEX(Pacientes!$Q:$Q, MATCH("Perdido|54", Pacientes!$U:$U, 0)), "")</f>
        <v/>
      </c>
      <c r="V56" s="22" t="str">
        <f aca="false" t="array" ref="V56:V56">IFERROR(INDEX(Pacientes!$A:$A, MATCH("Pendente|54", Pacientes!$U:$U, 0)), "")</f>
        <v/>
      </c>
      <c r="W56" s="22" t="str">
        <f aca="false" t="array" ref="W56:W56">IFERROR(INDEX(Pacientes!$S:$S, MATCH("Pendente|54", Pacientes!$U:$U, 0)), "")</f>
        <v/>
      </c>
      <c r="Y56" s="22" t="str">
        <f aca="false" t="array" ref="Y56:Y56">IFERROR(INDEX(Pacientes!$A:$A, MATCH("Não Precisa no Momento|54", Pacientes!$U:$U, 0)), "")</f>
        <v/>
      </c>
      <c r="Z56" s="22" t="str">
        <f aca="false" t="array" ref="Z56:Z56">IFERROR(INDEX(Pacientes!$S:$S, MATCH("Não Precisa no Momento|54", Pacientes!$U:$U, 0)), "")</f>
        <v/>
      </c>
    </row>
    <row r="57" customFormat="false" ht="15" hidden="false" customHeight="true" outlineLevel="0" collapsed="false">
      <c r="A57" s="22" t="str">
        <f aca="false" t="array" ref="A57:A57">IFERROR(INDEX(Pacientes!$A:$A, MATCH("Novo Paciente|55", Pacientes!$U:$U, 0)), "")</f>
        <v/>
      </c>
      <c r="B57" s="23" t="str">
        <f aca="false" t="array" ref="B57:B57">IFERROR(INDEX(Pacientes!$G:$G, MATCH("Novo Paciente|55", Pacientes!$U:$U, 0)), "")</f>
        <v/>
      </c>
      <c r="D57" s="22" t="str">
        <f aca="false" t="array" ref="D57:D57">IFERROR(INDEX(Pacientes!$A:$A, MATCH("Consulta Marcada|55", Pacientes!$U:$U, 0)), "")</f>
        <v/>
      </c>
      <c r="E57" s="23" t="str">
        <f aca="false" t="array" ref="E57:E57">IFERROR(INDEX(Pacientes!$I:$I, MATCH("Consulta Marcada|55", Pacientes!$U:$U, 0)), "")</f>
        <v/>
      </c>
      <c r="G57" s="22" t="str">
        <f aca="false" t="array" ref="G57:G57">IFERROR(INDEX(Pacientes!$A:$A, MATCH("Não Compareceu|55", Pacientes!$U:$U, 0)), "")</f>
        <v/>
      </c>
      <c r="H57" s="23" t="str">
        <f aca="false" t="array" ref="H57:H57">IFERROR(INDEX(Pacientes!$I:$I, MATCH("Não Compareceu|55", Pacientes!$U:$U, 0)), "")</f>
        <v/>
      </c>
      <c r="J57" s="22" t="str">
        <f aca="false" t="array" ref="J57:J57">IFERROR(INDEX(Pacientes!$A:$A, MATCH("Compareceu|55", Pacientes!$U:$U, 0)), "")</f>
        <v/>
      </c>
      <c r="K57" s="22" t="str">
        <f aca="false" t="array" ref="K57:K57">IFERROR(INDEX(Pacientes!$K:$K, MATCH("Compareceu|55", Pacientes!$U:$U, 0)), "")</f>
        <v/>
      </c>
      <c r="M57" s="22" t="str">
        <f aca="false" t="array" ref="M57:M57">IFERROR(INDEX(Pacientes!$A:$A, MATCH("Plano de Tratamento|55", Pacientes!$U:$U, 0)), "")</f>
        <v/>
      </c>
      <c r="N57" s="24" t="str">
        <f aca="false" t="array" ref="N57:N57">IFERROR(INDEX(Pacientes!$M:$M, MATCH("Plano de Tratamento|55", Pacientes!$U:$U, 0)), "")</f>
        <v/>
      </c>
      <c r="P57" s="22" t="str">
        <f aca="false" t="array" ref="P57:P57">IFERROR(INDEX(Pacientes!$A:$A, MATCH("Fechado|55", Pacientes!$X:$X, 0)), "")</f>
        <v/>
      </c>
      <c r="Q57" s="24" t="str">
        <f aca="false" t="array" ref="Q57:Q57">IFERROR(INDEX(Pacientes!$O:$O, MATCH("Fechado|55", Pacientes!$X:$X, 0)), "")</f>
        <v/>
      </c>
      <c r="S57" s="22" t="str">
        <f aca="false" t="array" ref="S57:S57">IFERROR(INDEX(Pacientes!$A:$A, MATCH("Perdido|55", Pacientes!$U:$U, 0)), "")</f>
        <v/>
      </c>
      <c r="T57" s="22" t="str">
        <f aca="false" t="array" ref="T57:T57">IFERROR(INDEX(Pacientes!$Q:$Q, MATCH("Perdido|55", Pacientes!$U:$U, 0)), "")</f>
        <v/>
      </c>
      <c r="V57" s="22" t="str">
        <f aca="false" t="array" ref="V57:V57">IFERROR(INDEX(Pacientes!$A:$A, MATCH("Pendente|55", Pacientes!$U:$U, 0)), "")</f>
        <v/>
      </c>
      <c r="W57" s="22" t="str">
        <f aca="false" t="array" ref="W57:W57">IFERROR(INDEX(Pacientes!$S:$S, MATCH("Pendente|55", Pacientes!$U:$U, 0)), "")</f>
        <v/>
      </c>
      <c r="Y57" s="22" t="str">
        <f aca="false" t="array" ref="Y57:Y57">IFERROR(INDEX(Pacientes!$A:$A, MATCH("Não Precisa no Momento|55", Pacientes!$U:$U, 0)), "")</f>
        <v/>
      </c>
      <c r="Z57" s="22" t="str">
        <f aca="false" t="array" ref="Z57:Z57">IFERROR(INDEX(Pacientes!$S:$S, MATCH("Não Precisa no Momento|55", Pacientes!$U:$U, 0)), "")</f>
        <v/>
      </c>
    </row>
    <row r="58" customFormat="false" ht="15" hidden="false" customHeight="true" outlineLevel="0" collapsed="false">
      <c r="A58" s="22" t="str">
        <f aca="false" t="array" ref="A58:A58">IFERROR(INDEX(Pacientes!$A:$A, MATCH("Novo Paciente|56", Pacientes!$U:$U, 0)), "")</f>
        <v/>
      </c>
      <c r="B58" s="23" t="str">
        <f aca="false" t="array" ref="B58:B58">IFERROR(INDEX(Pacientes!$G:$G, MATCH("Novo Paciente|56", Pacientes!$U:$U, 0)), "")</f>
        <v/>
      </c>
      <c r="D58" s="22" t="str">
        <f aca="false" t="array" ref="D58:D58">IFERROR(INDEX(Pacientes!$A:$A, MATCH("Consulta Marcada|56", Pacientes!$U:$U, 0)), "")</f>
        <v/>
      </c>
      <c r="E58" s="23" t="str">
        <f aca="false" t="array" ref="E58:E58">IFERROR(INDEX(Pacientes!$I:$I, MATCH("Consulta Marcada|56", Pacientes!$U:$U, 0)), "")</f>
        <v/>
      </c>
      <c r="G58" s="22" t="str">
        <f aca="false" t="array" ref="G58:G58">IFERROR(INDEX(Pacientes!$A:$A, MATCH("Não Compareceu|56", Pacientes!$U:$U, 0)), "")</f>
        <v/>
      </c>
      <c r="H58" s="23" t="str">
        <f aca="false" t="array" ref="H58:H58">IFERROR(INDEX(Pacientes!$I:$I, MATCH("Não Compareceu|56", Pacientes!$U:$U, 0)), "")</f>
        <v/>
      </c>
      <c r="J58" s="22" t="str">
        <f aca="false" t="array" ref="J58:J58">IFERROR(INDEX(Pacientes!$A:$A, MATCH("Compareceu|56", Pacientes!$U:$U, 0)), "")</f>
        <v/>
      </c>
      <c r="K58" s="22" t="str">
        <f aca="false" t="array" ref="K58:K58">IFERROR(INDEX(Pacientes!$K:$K, MATCH("Compareceu|56", Pacientes!$U:$U, 0)), "")</f>
        <v/>
      </c>
      <c r="M58" s="22" t="str">
        <f aca="false" t="array" ref="M58:M58">IFERROR(INDEX(Pacientes!$A:$A, MATCH("Plano de Tratamento|56", Pacientes!$U:$U, 0)), "")</f>
        <v/>
      </c>
      <c r="N58" s="24" t="str">
        <f aca="false" t="array" ref="N58:N58">IFERROR(INDEX(Pacientes!$M:$M, MATCH("Plano de Tratamento|56", Pacientes!$U:$U, 0)), "")</f>
        <v/>
      </c>
      <c r="P58" s="22" t="str">
        <f aca="false" t="array" ref="P58:P58">IFERROR(INDEX(Pacientes!$A:$A, MATCH("Fechado|56", Pacientes!$X:$X, 0)), "")</f>
        <v/>
      </c>
      <c r="Q58" s="24" t="str">
        <f aca="false" t="array" ref="Q58:Q58">IFERROR(INDEX(Pacientes!$O:$O, MATCH("Fechado|56", Pacientes!$X:$X, 0)), "")</f>
        <v/>
      </c>
      <c r="S58" s="22" t="str">
        <f aca="false" t="array" ref="S58:S58">IFERROR(INDEX(Pacientes!$A:$A, MATCH("Perdido|56", Pacientes!$U:$U, 0)), "")</f>
        <v/>
      </c>
      <c r="T58" s="22" t="str">
        <f aca="false" t="array" ref="T58:T58">IFERROR(INDEX(Pacientes!$Q:$Q, MATCH("Perdido|56", Pacientes!$U:$U, 0)), "")</f>
        <v/>
      </c>
      <c r="V58" s="22" t="str">
        <f aca="false" t="array" ref="V58:V58">IFERROR(INDEX(Pacientes!$A:$A, MATCH("Pendente|56", Pacientes!$U:$U, 0)), "")</f>
        <v/>
      </c>
      <c r="W58" s="22" t="str">
        <f aca="false" t="array" ref="W58:W58">IFERROR(INDEX(Pacientes!$S:$S, MATCH("Pendente|56", Pacientes!$U:$U, 0)), "")</f>
        <v/>
      </c>
      <c r="Y58" s="22" t="str">
        <f aca="false" t="array" ref="Y58:Y58">IFERROR(INDEX(Pacientes!$A:$A, MATCH("Não Precisa no Momento|56", Pacientes!$U:$U, 0)), "")</f>
        <v/>
      </c>
      <c r="Z58" s="22" t="str">
        <f aca="false" t="array" ref="Z58:Z58">IFERROR(INDEX(Pacientes!$S:$S, MATCH("Não Precisa no Momento|56", Pacientes!$U:$U, 0)), "")</f>
        <v/>
      </c>
    </row>
    <row r="59" customFormat="false" ht="15" hidden="false" customHeight="true" outlineLevel="0" collapsed="false">
      <c r="A59" s="22" t="str">
        <f aca="false" t="array" ref="A59:A59">IFERROR(INDEX(Pacientes!$A:$A, MATCH("Novo Paciente|57", Pacientes!$U:$U, 0)), "")</f>
        <v/>
      </c>
      <c r="B59" s="23" t="str">
        <f aca="false" t="array" ref="B59:B59">IFERROR(INDEX(Pacientes!$G:$G, MATCH("Novo Paciente|57", Pacientes!$U:$U, 0)), "")</f>
        <v/>
      </c>
      <c r="D59" s="22" t="str">
        <f aca="false" t="array" ref="D59:D59">IFERROR(INDEX(Pacientes!$A:$A, MATCH("Consulta Marcada|57", Pacientes!$U:$U, 0)), "")</f>
        <v/>
      </c>
      <c r="E59" s="23" t="str">
        <f aca="false" t="array" ref="E59:E59">IFERROR(INDEX(Pacientes!$I:$I, MATCH("Consulta Marcada|57", Pacientes!$U:$U, 0)), "")</f>
        <v/>
      </c>
      <c r="G59" s="22" t="str">
        <f aca="false" t="array" ref="G59:G59">IFERROR(INDEX(Pacientes!$A:$A, MATCH("Não Compareceu|57", Pacientes!$U:$U, 0)), "")</f>
        <v/>
      </c>
      <c r="H59" s="23" t="str">
        <f aca="false" t="array" ref="H59:H59">IFERROR(INDEX(Pacientes!$I:$I, MATCH("Não Compareceu|57", Pacientes!$U:$U, 0)), "")</f>
        <v/>
      </c>
      <c r="J59" s="22" t="str">
        <f aca="false" t="array" ref="J59:J59">IFERROR(INDEX(Pacientes!$A:$A, MATCH("Compareceu|57", Pacientes!$U:$U, 0)), "")</f>
        <v/>
      </c>
      <c r="K59" s="22" t="str">
        <f aca="false" t="array" ref="K59:K59">IFERROR(INDEX(Pacientes!$K:$K, MATCH("Compareceu|57", Pacientes!$U:$U, 0)), "")</f>
        <v/>
      </c>
      <c r="M59" s="22" t="str">
        <f aca="false" t="array" ref="M59:M59">IFERROR(INDEX(Pacientes!$A:$A, MATCH("Plano de Tratamento|57", Pacientes!$U:$U, 0)), "")</f>
        <v/>
      </c>
      <c r="N59" s="24" t="str">
        <f aca="false" t="array" ref="N59:N59">IFERROR(INDEX(Pacientes!$M:$M, MATCH("Plano de Tratamento|57", Pacientes!$U:$U, 0)), "")</f>
        <v/>
      </c>
      <c r="P59" s="22" t="str">
        <f aca="false" t="array" ref="P59:P59">IFERROR(INDEX(Pacientes!$A:$A, MATCH("Fechado|57", Pacientes!$X:$X, 0)), "")</f>
        <v/>
      </c>
      <c r="Q59" s="24" t="str">
        <f aca="false" t="array" ref="Q59:Q59">IFERROR(INDEX(Pacientes!$O:$O, MATCH("Fechado|57", Pacientes!$X:$X, 0)), "")</f>
        <v/>
      </c>
      <c r="S59" s="22" t="str">
        <f aca="false" t="array" ref="S59:S59">IFERROR(INDEX(Pacientes!$A:$A, MATCH("Perdido|57", Pacientes!$U:$U, 0)), "")</f>
        <v/>
      </c>
      <c r="T59" s="22" t="str">
        <f aca="false" t="array" ref="T59:T59">IFERROR(INDEX(Pacientes!$Q:$Q, MATCH("Perdido|57", Pacientes!$U:$U, 0)), "")</f>
        <v/>
      </c>
      <c r="V59" s="22" t="str">
        <f aca="false" t="array" ref="V59:V59">IFERROR(INDEX(Pacientes!$A:$A, MATCH("Pendente|57", Pacientes!$U:$U, 0)), "")</f>
        <v/>
      </c>
      <c r="W59" s="22" t="str">
        <f aca="false" t="array" ref="W59:W59">IFERROR(INDEX(Pacientes!$S:$S, MATCH("Pendente|57", Pacientes!$U:$U, 0)), "")</f>
        <v/>
      </c>
      <c r="Y59" s="22" t="str">
        <f aca="false" t="array" ref="Y59:Y59">IFERROR(INDEX(Pacientes!$A:$A, MATCH("Não Precisa no Momento|57", Pacientes!$U:$U, 0)), "")</f>
        <v/>
      </c>
      <c r="Z59" s="22" t="str">
        <f aca="false" t="array" ref="Z59:Z59">IFERROR(INDEX(Pacientes!$S:$S, MATCH("Não Precisa no Momento|57", Pacientes!$U:$U, 0)), "")</f>
        <v/>
      </c>
    </row>
    <row r="60" customFormat="false" ht="15" hidden="false" customHeight="true" outlineLevel="0" collapsed="false">
      <c r="A60" s="22" t="str">
        <f aca="false" t="array" ref="A60:A60">IFERROR(INDEX(Pacientes!$A:$A, MATCH("Novo Paciente|58", Pacientes!$U:$U, 0)), "")</f>
        <v/>
      </c>
      <c r="B60" s="23" t="str">
        <f aca="false" t="array" ref="B60:B60">IFERROR(INDEX(Pacientes!$G:$G, MATCH("Novo Paciente|58", Pacientes!$U:$U, 0)), "")</f>
        <v/>
      </c>
      <c r="D60" s="22" t="str">
        <f aca="false" t="array" ref="D60:D60">IFERROR(INDEX(Pacientes!$A:$A, MATCH("Consulta Marcada|58", Pacientes!$U:$U, 0)), "")</f>
        <v/>
      </c>
      <c r="E60" s="23" t="str">
        <f aca="false" t="array" ref="E60:E60">IFERROR(INDEX(Pacientes!$I:$I, MATCH("Consulta Marcada|58", Pacientes!$U:$U, 0)), "")</f>
        <v/>
      </c>
      <c r="G60" s="22" t="str">
        <f aca="false" t="array" ref="G60:G60">IFERROR(INDEX(Pacientes!$A:$A, MATCH("Não Compareceu|58", Pacientes!$U:$U, 0)), "")</f>
        <v/>
      </c>
      <c r="H60" s="23" t="str">
        <f aca="false" t="array" ref="H60:H60">IFERROR(INDEX(Pacientes!$I:$I, MATCH("Não Compareceu|58", Pacientes!$U:$U, 0)), "")</f>
        <v/>
      </c>
      <c r="J60" s="22" t="str">
        <f aca="false" t="array" ref="J60:J60">IFERROR(INDEX(Pacientes!$A:$A, MATCH("Compareceu|58", Pacientes!$U:$U, 0)), "")</f>
        <v/>
      </c>
      <c r="K60" s="22" t="str">
        <f aca="false" t="array" ref="K60:K60">IFERROR(INDEX(Pacientes!$K:$K, MATCH("Compareceu|58", Pacientes!$U:$U, 0)), "")</f>
        <v/>
      </c>
      <c r="M60" s="22" t="str">
        <f aca="false" t="array" ref="M60:M60">IFERROR(INDEX(Pacientes!$A:$A, MATCH("Plano de Tratamento|58", Pacientes!$U:$U, 0)), "")</f>
        <v/>
      </c>
      <c r="N60" s="24" t="str">
        <f aca="false" t="array" ref="N60:N60">IFERROR(INDEX(Pacientes!$M:$M, MATCH("Plano de Tratamento|58", Pacientes!$U:$U, 0)), "")</f>
        <v/>
      </c>
      <c r="P60" s="22" t="str">
        <f aca="false" t="array" ref="P60:P60">IFERROR(INDEX(Pacientes!$A:$A, MATCH("Fechado|58", Pacientes!$X:$X, 0)), "")</f>
        <v/>
      </c>
      <c r="Q60" s="24" t="str">
        <f aca="false" t="array" ref="Q60:Q60">IFERROR(INDEX(Pacientes!$O:$O, MATCH("Fechado|58", Pacientes!$X:$X, 0)), "")</f>
        <v/>
      </c>
      <c r="S60" s="22" t="str">
        <f aca="false" t="array" ref="S60:S60">IFERROR(INDEX(Pacientes!$A:$A, MATCH("Perdido|58", Pacientes!$U:$U, 0)), "")</f>
        <v/>
      </c>
      <c r="T60" s="22" t="str">
        <f aca="false" t="array" ref="T60:T60">IFERROR(INDEX(Pacientes!$Q:$Q, MATCH("Perdido|58", Pacientes!$U:$U, 0)), "")</f>
        <v/>
      </c>
      <c r="V60" s="22" t="str">
        <f aca="false" t="array" ref="V60:V60">IFERROR(INDEX(Pacientes!$A:$A, MATCH("Pendente|58", Pacientes!$U:$U, 0)), "")</f>
        <v/>
      </c>
      <c r="W60" s="22" t="str">
        <f aca="false" t="array" ref="W60:W60">IFERROR(INDEX(Pacientes!$S:$S, MATCH("Pendente|58", Pacientes!$U:$U, 0)), "")</f>
        <v/>
      </c>
      <c r="Y60" s="22" t="str">
        <f aca="false" t="array" ref="Y60:Y60">IFERROR(INDEX(Pacientes!$A:$A, MATCH("Não Precisa no Momento|58", Pacientes!$U:$U, 0)), "")</f>
        <v/>
      </c>
      <c r="Z60" s="22" t="str">
        <f aca="false" t="array" ref="Z60:Z60">IFERROR(INDEX(Pacientes!$S:$S, MATCH("Não Precisa no Momento|58", Pacientes!$U:$U, 0)), "")</f>
        <v/>
      </c>
    </row>
    <row r="61" customFormat="false" ht="15" hidden="false" customHeight="true" outlineLevel="0" collapsed="false">
      <c r="A61" s="22" t="str">
        <f aca="false" t="array" ref="A61:A61">IFERROR(INDEX(Pacientes!$A:$A, MATCH("Novo Paciente|59", Pacientes!$U:$U, 0)), "")</f>
        <v/>
      </c>
      <c r="B61" s="23" t="str">
        <f aca="false" t="array" ref="B61:B61">IFERROR(INDEX(Pacientes!$G:$G, MATCH("Novo Paciente|59", Pacientes!$U:$U, 0)), "")</f>
        <v/>
      </c>
      <c r="D61" s="22" t="str">
        <f aca="false" t="array" ref="D61:D61">IFERROR(INDEX(Pacientes!$A:$A, MATCH("Consulta Marcada|59", Pacientes!$U:$U, 0)), "")</f>
        <v/>
      </c>
      <c r="E61" s="23" t="str">
        <f aca="false" t="array" ref="E61:E61">IFERROR(INDEX(Pacientes!$I:$I, MATCH("Consulta Marcada|59", Pacientes!$U:$U, 0)), "")</f>
        <v/>
      </c>
      <c r="G61" s="22" t="str">
        <f aca="false" t="array" ref="G61:G61">IFERROR(INDEX(Pacientes!$A:$A, MATCH("Não Compareceu|59", Pacientes!$U:$U, 0)), "")</f>
        <v/>
      </c>
      <c r="H61" s="23" t="str">
        <f aca="false" t="array" ref="H61:H61">IFERROR(INDEX(Pacientes!$I:$I, MATCH("Não Compareceu|59", Pacientes!$U:$U, 0)), "")</f>
        <v/>
      </c>
      <c r="J61" s="22" t="str">
        <f aca="false" t="array" ref="J61:J61">IFERROR(INDEX(Pacientes!$A:$A, MATCH("Compareceu|59", Pacientes!$U:$U, 0)), "")</f>
        <v/>
      </c>
      <c r="K61" s="22" t="str">
        <f aca="false" t="array" ref="K61:K61">IFERROR(INDEX(Pacientes!$K:$K, MATCH("Compareceu|59", Pacientes!$U:$U, 0)), "")</f>
        <v/>
      </c>
      <c r="M61" s="22" t="str">
        <f aca="false" t="array" ref="M61:M61">IFERROR(INDEX(Pacientes!$A:$A, MATCH("Plano de Tratamento|59", Pacientes!$U:$U, 0)), "")</f>
        <v/>
      </c>
      <c r="N61" s="24" t="str">
        <f aca="false" t="array" ref="N61:N61">IFERROR(INDEX(Pacientes!$M:$M, MATCH("Plano de Tratamento|59", Pacientes!$U:$U, 0)), "")</f>
        <v/>
      </c>
      <c r="P61" s="22" t="str">
        <f aca="false" t="array" ref="P61:P61">IFERROR(INDEX(Pacientes!$A:$A, MATCH("Fechado|59", Pacientes!$X:$X, 0)), "")</f>
        <v/>
      </c>
      <c r="Q61" s="24" t="str">
        <f aca="false" t="array" ref="Q61:Q61">IFERROR(INDEX(Pacientes!$O:$O, MATCH("Fechado|59", Pacientes!$X:$X, 0)), "")</f>
        <v/>
      </c>
      <c r="S61" s="22" t="str">
        <f aca="false" t="array" ref="S61:S61">IFERROR(INDEX(Pacientes!$A:$A, MATCH("Perdido|59", Pacientes!$U:$U, 0)), "")</f>
        <v/>
      </c>
      <c r="T61" s="22" t="str">
        <f aca="false" t="array" ref="T61:T61">IFERROR(INDEX(Pacientes!$Q:$Q, MATCH("Perdido|59", Pacientes!$U:$U, 0)), "")</f>
        <v/>
      </c>
      <c r="V61" s="22" t="str">
        <f aca="false" t="array" ref="V61:V61">IFERROR(INDEX(Pacientes!$A:$A, MATCH("Pendente|59", Pacientes!$U:$U, 0)), "")</f>
        <v/>
      </c>
      <c r="W61" s="22" t="str">
        <f aca="false" t="array" ref="W61:W61">IFERROR(INDEX(Pacientes!$S:$S, MATCH("Pendente|59", Pacientes!$U:$U, 0)), "")</f>
        <v/>
      </c>
      <c r="Y61" s="22" t="str">
        <f aca="false" t="array" ref="Y61:Y61">IFERROR(INDEX(Pacientes!$A:$A, MATCH("Não Precisa no Momento|59", Pacientes!$U:$U, 0)), "")</f>
        <v/>
      </c>
      <c r="Z61" s="22" t="str">
        <f aca="false" t="array" ref="Z61:Z61">IFERROR(INDEX(Pacientes!$S:$S, MATCH("Não Precisa no Momento|59", Pacientes!$U:$U, 0)), "")</f>
        <v/>
      </c>
    </row>
    <row r="62" customFormat="false" ht="15" hidden="false" customHeight="true" outlineLevel="0" collapsed="false">
      <c r="A62" s="22" t="str">
        <f aca="false" t="array" ref="A62:A62">IFERROR(INDEX(Pacientes!$A:$A, MATCH("Novo Paciente|60", Pacientes!$U:$U, 0)), "")</f>
        <v/>
      </c>
      <c r="B62" s="23" t="str">
        <f aca="false" t="array" ref="B62:B62">IFERROR(INDEX(Pacientes!$G:$G, MATCH("Novo Paciente|60", Pacientes!$U:$U, 0)), "")</f>
        <v/>
      </c>
      <c r="D62" s="22" t="str">
        <f aca="false" t="array" ref="D62:D62">IFERROR(INDEX(Pacientes!$A:$A, MATCH("Consulta Marcada|60", Pacientes!$U:$U, 0)), "")</f>
        <v/>
      </c>
      <c r="E62" s="23" t="str">
        <f aca="false" t="array" ref="E62:E62">IFERROR(INDEX(Pacientes!$I:$I, MATCH("Consulta Marcada|60", Pacientes!$U:$U, 0)), "")</f>
        <v/>
      </c>
      <c r="G62" s="22" t="str">
        <f aca="false" t="array" ref="G62:G62">IFERROR(INDEX(Pacientes!$A:$A, MATCH("Não Compareceu|60", Pacientes!$U:$U, 0)), "")</f>
        <v/>
      </c>
      <c r="H62" s="23" t="str">
        <f aca="false" t="array" ref="H62:H62">IFERROR(INDEX(Pacientes!$I:$I, MATCH("Não Compareceu|60", Pacientes!$U:$U, 0)), "")</f>
        <v/>
      </c>
      <c r="J62" s="22" t="str">
        <f aca="false" t="array" ref="J62:J62">IFERROR(INDEX(Pacientes!$A:$A, MATCH("Compareceu|60", Pacientes!$U:$U, 0)), "")</f>
        <v/>
      </c>
      <c r="K62" s="22" t="str">
        <f aca="false" t="array" ref="K62:K62">IFERROR(INDEX(Pacientes!$K:$K, MATCH("Compareceu|60", Pacientes!$U:$U, 0)), "")</f>
        <v/>
      </c>
      <c r="M62" s="22" t="str">
        <f aca="false" t="array" ref="M62:M62">IFERROR(INDEX(Pacientes!$A:$A, MATCH("Plano de Tratamento|60", Pacientes!$U:$U, 0)), "")</f>
        <v/>
      </c>
      <c r="N62" s="24" t="str">
        <f aca="false" t="array" ref="N62:N62">IFERROR(INDEX(Pacientes!$M:$M, MATCH("Plano de Tratamento|60", Pacientes!$U:$U, 0)), "")</f>
        <v/>
      </c>
      <c r="P62" s="22" t="str">
        <f aca="false" t="array" ref="P62:P62">IFERROR(INDEX(Pacientes!$A:$A, MATCH("Fechado|60", Pacientes!$X:$X, 0)), "")</f>
        <v/>
      </c>
      <c r="Q62" s="24" t="str">
        <f aca="false" t="array" ref="Q62:Q62">IFERROR(INDEX(Pacientes!$O:$O, MATCH("Fechado|60", Pacientes!$X:$X, 0)), "")</f>
        <v/>
      </c>
      <c r="S62" s="22" t="str">
        <f aca="false" t="array" ref="S62:S62">IFERROR(INDEX(Pacientes!$A:$A, MATCH("Perdido|60", Pacientes!$U:$U, 0)), "")</f>
        <v/>
      </c>
      <c r="T62" s="22" t="str">
        <f aca="false" t="array" ref="T62:T62">IFERROR(INDEX(Pacientes!$Q:$Q, MATCH("Perdido|60", Pacientes!$U:$U, 0)), "")</f>
        <v/>
      </c>
      <c r="V62" s="22" t="str">
        <f aca="false" t="array" ref="V62:V62">IFERROR(INDEX(Pacientes!$A:$A, MATCH("Pendente|60", Pacientes!$U:$U, 0)), "")</f>
        <v/>
      </c>
      <c r="W62" s="22" t="str">
        <f aca="false" t="array" ref="W62:W62">IFERROR(INDEX(Pacientes!$S:$S, MATCH("Pendente|60", Pacientes!$U:$U, 0)), "")</f>
        <v/>
      </c>
      <c r="Y62" s="22" t="str">
        <f aca="false" t="array" ref="Y62:Y62">IFERROR(INDEX(Pacientes!$A:$A, MATCH("Não Precisa no Momento|60", Pacientes!$U:$U, 0)), "")</f>
        <v/>
      </c>
      <c r="Z62" s="22" t="str">
        <f aca="false" t="array" ref="Z62:Z62">IFERROR(INDEX(Pacientes!$S:$S, MATCH("Não Precisa no Momento|60", Pacientes!$U:$U, 0)), "")</f>
        <v/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B1"/>
    <mergeCell ref="D1:E1"/>
    <mergeCell ref="G1:H1"/>
    <mergeCell ref="J1:K1"/>
    <mergeCell ref="M1:N1"/>
    <mergeCell ref="P1:Q1"/>
    <mergeCell ref="S1:T1"/>
    <mergeCell ref="V1:W1"/>
    <mergeCell ref="Y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1.15"/>
    <col collapsed="false" customWidth="true" hidden="false" outlineLevel="0" max="2" min="2" style="1" width="42.71"/>
    <col collapsed="false" customWidth="true" hidden="false" outlineLevel="0" max="26" min="3" style="1" width="8.71"/>
  </cols>
  <sheetData>
    <row r="1" customFormat="false" ht="21.75" hidden="false" customHeight="true" outlineLevel="0" collapsed="false">
      <c r="A1" s="25" t="s">
        <v>199</v>
      </c>
      <c r="B1" s="25" t="s">
        <v>200</v>
      </c>
    </row>
    <row r="2" customFormat="false" ht="15" hidden="false" customHeight="true" outlineLevel="0" collapsed="false">
      <c r="A2" s="22" t="str">
        <f aca="false" t="array" ref="A2:A2">IFERROR(INDEX(Pacientes!$A:$A, MATCH("Indicacao|1", Pacientes!$Z:$Z, 0)), "")</f>
        <v>Andrea Reis Ferreira de Melo</v>
      </c>
      <c r="B2" s="26" t="s">
        <v>201</v>
      </c>
    </row>
    <row r="3" customFormat="false" ht="15" hidden="false" customHeight="true" outlineLevel="0" collapsed="false">
      <c r="A3" s="22" t="str">
        <f aca="false" t="array" ref="A3:A3">IFERROR(INDEX(Pacientes!$A:$A, MATCH("Indicacao|2", Pacientes!$Z:$Z, 0)), "")</f>
        <v>Hiltonn Muniz Cordeiro</v>
      </c>
      <c r="B3" s="26" t="s">
        <v>201</v>
      </c>
    </row>
    <row r="4" customFormat="false" ht="15" hidden="false" customHeight="true" outlineLevel="0" collapsed="false">
      <c r="A4" s="22" t="str">
        <f aca="false" t="array" ref="A4:A4">IFERROR(INDEX(Pacientes!$A:$A, MATCH("Indicacao|3", Pacientes!$Z:$Z, 0)), "")</f>
        <v> Estevão Nobre Carrato</v>
      </c>
      <c r="B4" s="26" t="s">
        <v>201</v>
      </c>
    </row>
    <row r="5" customFormat="false" ht="15" hidden="false" customHeight="true" outlineLevel="0" collapsed="false">
      <c r="A5" s="22" t="str">
        <f aca="false" t="array" ref="A5:A5">IFERROR(INDEX(Pacientes!$A:$A, MATCH("Indicacao|4", Pacientes!$Z:$Z, 0)), "")</f>
        <v>Guilherme Moraes</v>
      </c>
      <c r="B5" s="26" t="s">
        <v>201</v>
      </c>
    </row>
    <row r="6" customFormat="false" ht="15" hidden="false" customHeight="true" outlineLevel="0" collapsed="false">
      <c r="A6" s="22" t="str">
        <f aca="false" t="array" ref="A6:A6">IFERROR(INDEX(Pacientes!$A:$A, MATCH("Indicacao|5", Pacientes!$Z:$Z, 0)), "")</f>
        <v>Bernardo Vieira Bersan El Bizri</v>
      </c>
      <c r="B6" s="26" t="s">
        <v>202</v>
      </c>
    </row>
    <row r="7" customFormat="false" ht="15" hidden="false" customHeight="true" outlineLevel="0" collapsed="false">
      <c r="A7" s="22" t="str">
        <f aca="false" t="array" ref="A7:A7">IFERROR(INDEX(Pacientes!$A:$A, MATCH("Indicacao|6", Pacientes!$Z:$Z, 0)), "")</f>
        <v>Esther Andrade dos Santos</v>
      </c>
      <c r="B7" s="26" t="s">
        <v>203</v>
      </c>
    </row>
    <row r="8" customFormat="false" ht="15" hidden="false" customHeight="true" outlineLevel="0" collapsed="false">
      <c r="A8" s="22" t="str">
        <f aca="false" t="array" ref="A8:A8">IFERROR(INDEX(Pacientes!$A:$A, MATCH("Indicacao|7", Pacientes!$Z:$Z, 0)), "")</f>
        <v>Miguel Gonzalez Bidoia</v>
      </c>
      <c r="B8" s="26" t="s">
        <v>204</v>
      </c>
    </row>
    <row r="9" customFormat="false" ht="15" hidden="false" customHeight="true" outlineLevel="0" collapsed="false">
      <c r="A9" s="22" t="str">
        <f aca="false" t="array" ref="A9:A9">IFERROR(INDEX(Pacientes!$A:$A, MATCH("Indicacao|8", Pacientes!$Z:$Z, 0)), "")</f>
        <v>Felipe Ribeiro Tostes de Menezes</v>
      </c>
      <c r="B9" s="26" t="s">
        <v>205</v>
      </c>
    </row>
    <row r="10" customFormat="false" ht="15" hidden="false" customHeight="true" outlineLevel="0" collapsed="false">
      <c r="A10" s="22" t="str">
        <f aca="false" t="array" ref="A10:A10">IFERROR(INDEX(Pacientes!$A:$A, MATCH("Indicacao|9", Pacientes!$Z:$Z, 0)), "")</f>
        <v>Gabriela Ribeiro Tostes de Menezes </v>
      </c>
      <c r="B10" s="26" t="s">
        <v>205</v>
      </c>
    </row>
    <row r="11" customFormat="false" ht="15" hidden="false" customHeight="true" outlineLevel="0" collapsed="false">
      <c r="A11" s="22" t="str">
        <f aca="false" t="array" ref="A11:A11">IFERROR(INDEX(Pacientes!$A:$A, MATCH("Indicacao|10", Pacientes!$Z:$Z, 0)), "")</f>
        <v>Ana Cláudia Ribeiro Marzinetti Dias</v>
      </c>
      <c r="B11" s="26" t="s">
        <v>206</v>
      </c>
    </row>
    <row r="12" customFormat="false" ht="15" hidden="false" customHeight="true" outlineLevel="0" collapsed="false">
      <c r="A12" s="22" t="str">
        <f aca="false" t="array" ref="A12:A12">IFERROR(INDEX(Pacientes!$A:$A, MATCH("Indicacao|11", Pacientes!$Z:$Z, 0)), "")</f>
        <v>Laura Gomes Souto Morato </v>
      </c>
      <c r="B12" s="26" t="s">
        <v>207</v>
      </c>
    </row>
    <row r="13" customFormat="false" ht="15" hidden="false" customHeight="true" outlineLevel="0" collapsed="false">
      <c r="A13" s="22" t="str">
        <f aca="false" t="array" ref="A13:A13">IFERROR(INDEX(Pacientes!$A:$A, MATCH("Indicacao|12", Pacientes!$Z:$Z, 0)), "")</f>
        <v>João Gabriel Pinto Coelho Barbosa </v>
      </c>
      <c r="B13" s="26" t="s">
        <v>208</v>
      </c>
    </row>
    <row r="14" customFormat="false" ht="15" hidden="false" customHeight="true" outlineLevel="0" collapsed="false">
      <c r="A14" s="22" t="str">
        <f aca="false" t="array" ref="A14:A14">IFERROR(INDEX(Pacientes!$A:$A, MATCH("Indicacao|13", Pacientes!$Z:$Z, 0)), "")</f>
        <v>Miguel Oliveira Souza</v>
      </c>
      <c r="B14" s="26" t="s">
        <v>209</v>
      </c>
    </row>
    <row r="15" customFormat="false" ht="15" hidden="false" customHeight="true" outlineLevel="0" collapsed="false">
      <c r="A15" s="22" t="str">
        <f aca="false" t="array" ref="A15:A15">IFERROR(INDEX(Pacientes!$A:$A, MATCH("Indicacao|14", Pacientes!$Z:$Z, 0)), "")</f>
        <v>Felipe da Cunha Pereira Rocha Lacerda</v>
      </c>
      <c r="B15" s="26" t="s">
        <v>210</v>
      </c>
    </row>
    <row r="16" customFormat="false" ht="15" hidden="false" customHeight="true" outlineLevel="0" collapsed="false">
      <c r="A16" s="22" t="str">
        <f aca="false" t="array" ref="A16:A16">IFERROR(INDEX(Pacientes!$A:$A, MATCH("Indicacao|15", Pacientes!$Z:$Z, 0)), "")</f>
        <v>Gabriel da Rocha Bastos</v>
      </c>
      <c r="B16" s="26" t="s">
        <v>211</v>
      </c>
    </row>
    <row r="17" customFormat="false" ht="15" hidden="false" customHeight="true" outlineLevel="0" collapsed="false">
      <c r="A17" s="22" t="str">
        <f aca="false" t="array" ref="A17:A17">IFERROR(INDEX(Pacientes!$A:$A, MATCH("Indicacao|16", Pacientes!$Z:$Z, 0)), "")</f>
        <v>Fernando Ferreira Medeiros</v>
      </c>
      <c r="B17" s="26" t="s">
        <v>212</v>
      </c>
    </row>
    <row r="18" customFormat="false" ht="15" hidden="false" customHeight="true" outlineLevel="0" collapsed="false">
      <c r="A18" s="22" t="str">
        <f aca="false" t="array" ref="A18:A18">IFERROR(INDEX(Pacientes!$A:$A, MATCH("Indicacao|17", Pacientes!$Z:$Z, 0)), "")</f>
        <v>Lavinia Ferreira de La Fuente</v>
      </c>
      <c r="B18" s="26" t="s">
        <v>213</v>
      </c>
    </row>
    <row r="19" customFormat="false" ht="15" hidden="false" customHeight="true" outlineLevel="0" collapsed="false">
      <c r="A19" s="22" t="str">
        <f aca="false" t="array" ref="A19:A19">IFERROR(INDEX(Pacientes!$A:$A, MATCH("Indicacao|18", Pacientes!$Z:$Z, 0)), "")</f>
        <v>Vitor Mesquita Carlos Gomes </v>
      </c>
      <c r="B19" s="26" t="s">
        <v>214</v>
      </c>
    </row>
    <row r="20" customFormat="false" ht="15" hidden="false" customHeight="true" outlineLevel="0" collapsed="false">
      <c r="A20" s="22" t="str">
        <f aca="false" t="array" ref="A20:A20">IFERROR(INDEX(Pacientes!$A:$A, MATCH("Indicacao|19", Pacientes!$Z:$Z, 0)), "")</f>
        <v>Monica Maria Alves Pereira</v>
      </c>
      <c r="B20" s="26" t="s">
        <v>201</v>
      </c>
    </row>
    <row r="21" customFormat="false" ht="15" hidden="false" customHeight="true" outlineLevel="0" collapsed="false">
      <c r="A21" s="22" t="str">
        <f aca="false" t="array" ref="A21:A21">IFERROR(INDEX(Pacientes!$A:$A, MATCH("Indicacao|20", Pacientes!$Z:$Z, 0)), "")</f>
        <v>Christiane Alves Esteves Diniz Guerra</v>
      </c>
      <c r="B21" s="26" t="s">
        <v>215</v>
      </c>
    </row>
    <row r="22" customFormat="false" ht="15" hidden="false" customHeight="true" outlineLevel="0" collapsed="false">
      <c r="A22" s="22" t="str">
        <f aca="false" t="array" ref="A22:A22">IFERROR(INDEX(Pacientes!$A:$A, MATCH("Indicacao|21", Pacientes!$Z:$Z, 0)), "")</f>
        <v>Kezia Cristina Teodoro dos Santos</v>
      </c>
      <c r="B22" s="26" t="s">
        <v>216</v>
      </c>
    </row>
    <row r="23" customFormat="false" ht="15" hidden="false" customHeight="true" outlineLevel="0" collapsed="false">
      <c r="A23" s="22" t="str">
        <f aca="false" t="array" ref="A23:A23">IFERROR(INDEX(Pacientes!$A:$A, MATCH("Indicacao|22", Pacientes!$Z:$Z, 0)), "")</f>
        <v>Izabela Maia Resende</v>
      </c>
      <c r="B23" s="26" t="s">
        <v>217</v>
      </c>
    </row>
    <row r="24" customFormat="false" ht="15" hidden="false" customHeight="true" outlineLevel="0" collapsed="false">
      <c r="A24" s="22" t="str">
        <f aca="false" t="array" ref="A24:A24">IFERROR(INDEX(Pacientes!$A:$A, MATCH("Indicacao|23", Pacientes!$Z:$Z, 0)), "")</f>
        <v>Eduardo Lamaita Figueiredo</v>
      </c>
      <c r="B24" s="26" t="s">
        <v>218</v>
      </c>
    </row>
    <row r="25" customFormat="false" ht="15" hidden="false" customHeight="true" outlineLevel="0" collapsed="false">
      <c r="A25" s="22" t="str">
        <f aca="false" t="array" ref="A25:A25">IFERROR(INDEX(Pacientes!$A:$A, MATCH("Indicacao|24", Pacientes!$Z:$Z, 0)), "")</f>
        <v>Flavia Mendonça Pinheiro de Melo</v>
      </c>
      <c r="B25" s="26" t="s">
        <v>219</v>
      </c>
    </row>
    <row r="26" customFormat="false" ht="15" hidden="false" customHeight="true" outlineLevel="0" collapsed="false">
      <c r="A26" s="22" t="str">
        <f aca="false" t="array" ref="A26:A26">IFERROR(INDEX(Pacientes!$A:$A, MATCH("Indicacao|25", Pacientes!$Z:$Z, 0)), "")</f>
        <v>Gabriela Mendonça Pinheiro de Melo</v>
      </c>
      <c r="B26" s="26" t="s">
        <v>220</v>
      </c>
    </row>
    <row r="27" customFormat="false" ht="15" hidden="false" customHeight="true" outlineLevel="0" collapsed="false">
      <c r="A27" s="22" t="str">
        <f aca="false" t="array" ref="A27:A27">IFERROR(INDEX(Pacientes!$A:$A, MATCH("Indicacao|26", Pacientes!$Z:$Z, 0)), "")</f>
        <v>Helena Barcelos Avelar</v>
      </c>
      <c r="B27" s="26"/>
    </row>
    <row r="28" customFormat="false" ht="15" hidden="false" customHeight="true" outlineLevel="0" collapsed="false">
      <c r="A28" s="22" t="str">
        <f aca="false" t="array" ref="A28:A28">IFERROR(INDEX(Pacientes!$A:$A, MATCH("Indicacao|27", Pacientes!$Z:$Z, 0)), "")</f>
        <v>Joaquim Manduca Campos</v>
      </c>
      <c r="B28" s="26"/>
    </row>
    <row r="29" customFormat="false" ht="15" hidden="false" customHeight="true" outlineLevel="0" collapsed="false">
      <c r="A29" s="22" t="str">
        <f aca="false" t="array" ref="A29:A29">IFERROR(INDEX(Pacientes!$A:$A, MATCH("Indicacao|28", Pacientes!$Z:$Z, 0)), "")</f>
        <v>Maried Guimarães Manduca Campos</v>
      </c>
      <c r="B29" s="26"/>
    </row>
    <row r="30" customFormat="false" ht="15" hidden="false" customHeight="true" outlineLevel="0" collapsed="false">
      <c r="A30" s="22" t="str">
        <f aca="false" t="array" ref="A30:A30">IFERROR(INDEX(Pacientes!$A:$A, MATCH("Indicacao|29", Pacientes!$Z:$Z, 0)), "")</f>
        <v>Jamiria Aparecida Vieira Reis</v>
      </c>
      <c r="B30" s="26"/>
    </row>
    <row r="31" customFormat="false" ht="15" hidden="false" customHeight="true" outlineLevel="0" collapsed="false">
      <c r="A31" s="22" t="str">
        <f aca="false" t="array" ref="A31:A31">IFERROR(INDEX(Pacientes!$A:$A, MATCH("Indicacao|30", Pacientes!$Z:$Z, 0)), "")</f>
        <v>Davi Norte Menezes</v>
      </c>
      <c r="B31" s="26"/>
    </row>
    <row r="32" customFormat="false" ht="15" hidden="false" customHeight="true" outlineLevel="0" collapsed="false">
      <c r="A32" s="22" t="str">
        <f aca="false" t="array" ref="A32:A32">IFERROR(INDEX(Pacientes!$A:$A, MATCH("Indicacao|31", Pacientes!$Z:$Z, 0)), "")</f>
        <v>Manoela Almeida Moore</v>
      </c>
      <c r="B32" s="26"/>
    </row>
    <row r="33" customFormat="false" ht="15" hidden="false" customHeight="true" outlineLevel="0" collapsed="false">
      <c r="A33" s="22" t="str">
        <f aca="false" t="array" ref="A33:A33">IFERROR(INDEX(Pacientes!$A:$A, MATCH("Indicacao|32", Pacientes!$Z:$Z, 0)), "")</f>
        <v>Aline Fernanda de Lima Costa</v>
      </c>
      <c r="B33" s="26"/>
    </row>
    <row r="34" customFormat="false" ht="15" hidden="false" customHeight="true" outlineLevel="0" collapsed="false">
      <c r="A34" s="22" t="str">
        <f aca="false" t="array" ref="A34:A34">IFERROR(INDEX(Pacientes!$A:$A, MATCH("Indicacao|33", Pacientes!$Z:$Z, 0)), "")</f>
        <v>Paulo Maulais</v>
      </c>
      <c r="B34" s="26"/>
    </row>
    <row r="35" customFormat="false" ht="15" hidden="false" customHeight="true" outlineLevel="0" collapsed="false">
      <c r="A35" s="22" t="str">
        <f aca="false" t="array" ref="A35:A35">IFERROR(INDEX(Pacientes!$A:$A, MATCH("Indicacao|34", Pacientes!$Z:$Z, 0)), "")</f>
        <v>Andrea Cristina Guerra da Silva</v>
      </c>
      <c r="B35" s="26"/>
    </row>
    <row r="36" customFormat="false" ht="15" hidden="false" customHeight="true" outlineLevel="0" collapsed="false">
      <c r="A36" s="22" t="str">
        <f aca="false" t="array" ref="A36:A36">IFERROR(INDEX(Pacientes!$A:$A, MATCH("Indicacao|35", Pacientes!$Z:$Z, 0)), "")</f>
        <v>Andre Sovoi Torres</v>
      </c>
      <c r="B36" s="26"/>
    </row>
    <row r="37" customFormat="false" ht="15" hidden="false" customHeight="true" outlineLevel="0" collapsed="false">
      <c r="A37" s="22" t="str">
        <f aca="false" t="array" ref="A37:A37">IFERROR(INDEX(Pacientes!$A:$A, MATCH("Indicacao|36", Pacientes!$Z:$Z, 0)), "")</f>
        <v>Raquel Rabelo (filhas)</v>
      </c>
      <c r="B37" s="26"/>
    </row>
    <row r="38" customFormat="false" ht="15" hidden="false" customHeight="true" outlineLevel="0" collapsed="false">
      <c r="A38" s="22" t="str">
        <f aca="false" t="array" ref="A38:A38">IFERROR(INDEX(Pacientes!$A:$A, MATCH("Indicacao|37", Pacientes!$Z:$Z, 0)), "")</f>
        <v>Caio Norte Menezes</v>
      </c>
      <c r="B38" s="26"/>
    </row>
    <row r="39" customFormat="false" ht="15" hidden="false" customHeight="true" outlineLevel="0" collapsed="false">
      <c r="A39" s="22" t="str">
        <f aca="false" t="array" ref="A39:A39">IFERROR(INDEX(Pacientes!$A:$A, MATCH("Indicacao|38", Pacientes!$Z:$Z, 0)), "")</f>
        <v/>
      </c>
      <c r="B39" s="26"/>
    </row>
    <row r="40" customFormat="false" ht="15" hidden="false" customHeight="true" outlineLevel="0" collapsed="false">
      <c r="A40" s="22" t="str">
        <f aca="false" t="array" ref="A40:A40">IFERROR(INDEX(Pacientes!$A:$A, MATCH("Indicacao|39", Pacientes!$Z:$Z, 0)), "")</f>
        <v/>
      </c>
      <c r="B40" s="26"/>
    </row>
    <row r="41" customFormat="false" ht="15" hidden="false" customHeight="true" outlineLevel="0" collapsed="false">
      <c r="A41" s="22" t="str">
        <f aca="false" t="array" ref="A41:A41">IFERROR(INDEX(Pacientes!$A:$A, MATCH("Indicacao|40", Pacientes!$Z:$Z, 0)), "")</f>
        <v/>
      </c>
      <c r="B41" s="26"/>
    </row>
    <row r="42" customFormat="false" ht="15" hidden="false" customHeight="true" outlineLevel="0" collapsed="false">
      <c r="A42" s="22" t="str">
        <f aca="false" t="array" ref="A42:A42">IFERROR(INDEX(Pacientes!$A:$A, MATCH("Indicacao|41", Pacientes!$Z:$Z, 0)), "")</f>
        <v/>
      </c>
      <c r="B42" s="26"/>
    </row>
    <row r="43" customFormat="false" ht="15" hidden="false" customHeight="true" outlineLevel="0" collapsed="false">
      <c r="A43" s="22" t="str">
        <f aca="false" t="array" ref="A43:A43">IFERROR(INDEX(Pacientes!$A:$A, MATCH("Indicacao|42", Pacientes!$Z:$Z, 0)), "")</f>
        <v/>
      </c>
      <c r="B43" s="26"/>
    </row>
    <row r="44" customFormat="false" ht="15" hidden="false" customHeight="true" outlineLevel="0" collapsed="false">
      <c r="A44" s="22" t="str">
        <f aca="false" t="array" ref="A44:A44">IFERROR(INDEX(Pacientes!$A:$A, MATCH("Indicacao|43", Pacientes!$Z:$Z, 0)), "")</f>
        <v/>
      </c>
      <c r="B44" s="26"/>
    </row>
    <row r="45" customFormat="false" ht="15" hidden="false" customHeight="true" outlineLevel="0" collapsed="false">
      <c r="A45" s="22" t="str">
        <f aca="false" t="array" ref="A45:A45">IFERROR(INDEX(Pacientes!$A:$A, MATCH("Indicacao|44", Pacientes!$Z:$Z, 0)), "")</f>
        <v/>
      </c>
      <c r="B45" s="26"/>
    </row>
    <row r="46" customFormat="false" ht="15" hidden="false" customHeight="true" outlineLevel="0" collapsed="false">
      <c r="A46" s="22" t="str">
        <f aca="false" t="array" ref="A46:A46">IFERROR(INDEX(Pacientes!$A:$A, MATCH("Indicacao|45", Pacientes!$Z:$Z, 0)), "")</f>
        <v/>
      </c>
      <c r="B46" s="26"/>
    </row>
    <row r="47" customFormat="false" ht="15" hidden="false" customHeight="true" outlineLevel="0" collapsed="false">
      <c r="A47" s="22" t="str">
        <f aca="false" t="array" ref="A47:A47">IFERROR(INDEX(Pacientes!$A:$A, MATCH("Indicacao|46", Pacientes!$Z:$Z, 0)), "")</f>
        <v/>
      </c>
      <c r="B47" s="26"/>
    </row>
    <row r="48" customFormat="false" ht="15" hidden="false" customHeight="true" outlineLevel="0" collapsed="false">
      <c r="A48" s="22" t="str">
        <f aca="false" t="array" ref="A48:A48">IFERROR(INDEX(Pacientes!$A:$A, MATCH("Indicacao|47", Pacientes!$Z:$Z, 0)), "")</f>
        <v/>
      </c>
      <c r="B48" s="26"/>
    </row>
    <row r="49" customFormat="false" ht="15" hidden="false" customHeight="true" outlineLevel="0" collapsed="false">
      <c r="A49" s="22" t="str">
        <f aca="false" t="array" ref="A49:A49">IFERROR(INDEX(Pacientes!$A:$A, MATCH("Indicacao|48", Pacientes!$Z:$Z, 0)), "")</f>
        <v/>
      </c>
      <c r="B49" s="26"/>
    </row>
    <row r="50" customFormat="false" ht="15" hidden="false" customHeight="true" outlineLevel="0" collapsed="false">
      <c r="A50" s="22" t="str">
        <f aca="false" t="array" ref="A50:A50">IFERROR(INDEX(Pacientes!$A:$A, MATCH("Indicacao|49", Pacientes!$Z:$Z, 0)), "")</f>
        <v/>
      </c>
      <c r="B50" s="26"/>
    </row>
    <row r="51" customFormat="false" ht="15" hidden="false" customHeight="true" outlineLevel="0" collapsed="false">
      <c r="A51" s="22" t="str">
        <f aca="false" t="array" ref="A51:A51">IFERROR(INDEX(Pacientes!$A:$A, MATCH("Indicacao|50", Pacientes!$Z:$Z, 0)), "")</f>
        <v/>
      </c>
      <c r="B51" s="26"/>
    </row>
    <row r="52" customFormat="false" ht="15" hidden="false" customHeight="true" outlineLevel="0" collapsed="false">
      <c r="A52" s="22" t="str">
        <f aca="false" t="array" ref="A52:A52">IFERROR(INDEX(Pacientes!$A:$A, MATCH("Indicacao|51", Pacientes!$Z:$Z, 0)), "")</f>
        <v/>
      </c>
      <c r="B52" s="26"/>
    </row>
    <row r="53" customFormat="false" ht="15" hidden="false" customHeight="true" outlineLevel="0" collapsed="false">
      <c r="A53" s="22" t="str">
        <f aca="false" t="array" ref="A53:A53">IFERROR(INDEX(Pacientes!$A:$A, MATCH("Indicacao|52", Pacientes!$Z:$Z, 0)), "")</f>
        <v/>
      </c>
      <c r="B53" s="26"/>
    </row>
    <row r="54" customFormat="false" ht="15" hidden="false" customHeight="true" outlineLevel="0" collapsed="false">
      <c r="A54" s="22" t="str">
        <f aca="false" t="array" ref="A54:A54">IFERROR(INDEX(Pacientes!$A:$A, MATCH("Indicacao|53", Pacientes!$Z:$Z, 0)), "")</f>
        <v/>
      </c>
      <c r="B54" s="26"/>
    </row>
    <row r="55" customFormat="false" ht="15" hidden="false" customHeight="true" outlineLevel="0" collapsed="false">
      <c r="A55" s="22" t="str">
        <f aca="false" t="array" ref="A55:A55">IFERROR(INDEX(Pacientes!$A:$A, MATCH("Indicacao|54", Pacientes!$Z:$Z, 0)), "")</f>
        <v/>
      </c>
      <c r="B55" s="26"/>
    </row>
    <row r="56" customFormat="false" ht="15" hidden="false" customHeight="true" outlineLevel="0" collapsed="false">
      <c r="A56" s="22" t="str">
        <f aca="false" t="array" ref="A56:A56">IFERROR(INDEX(Pacientes!$A:$A, MATCH("Indicacao|55", Pacientes!$Z:$Z, 0)), "")</f>
        <v/>
      </c>
      <c r="B56" s="26"/>
    </row>
    <row r="57" customFormat="false" ht="15" hidden="false" customHeight="true" outlineLevel="0" collapsed="false">
      <c r="A57" s="22" t="str">
        <f aca="false" t="array" ref="A57:A57">IFERROR(INDEX(Pacientes!$A:$A, MATCH("Indicacao|56", Pacientes!$Z:$Z, 0)), "")</f>
        <v/>
      </c>
      <c r="B57" s="26"/>
    </row>
    <row r="58" customFormat="false" ht="15" hidden="false" customHeight="true" outlineLevel="0" collapsed="false">
      <c r="A58" s="22" t="str">
        <f aca="false" t="array" ref="A58:A58">IFERROR(INDEX(Pacientes!$A:$A, MATCH("Indicacao|57", Pacientes!$Z:$Z, 0)), "")</f>
        <v/>
      </c>
      <c r="B58" s="26"/>
    </row>
    <row r="59" customFormat="false" ht="15" hidden="false" customHeight="true" outlineLevel="0" collapsed="false">
      <c r="A59" s="22" t="str">
        <f aca="false" t="array" ref="A59:A59">IFERROR(INDEX(Pacientes!$A:$A, MATCH("Indicacao|58", Pacientes!$Z:$Z, 0)), "")</f>
        <v/>
      </c>
      <c r="B59" s="26"/>
    </row>
    <row r="60" customFormat="false" ht="15" hidden="false" customHeight="true" outlineLevel="0" collapsed="false">
      <c r="A60" s="22" t="str">
        <f aca="false" t="array" ref="A60:A60">IFERROR(INDEX(Pacientes!$A:$A, MATCH("Indicacao|59", Pacientes!$Z:$Z, 0)), "")</f>
        <v/>
      </c>
      <c r="B60" s="26"/>
    </row>
    <row r="61" customFormat="false" ht="15" hidden="false" customHeight="true" outlineLevel="0" collapsed="false">
      <c r="A61" s="22" t="str">
        <f aca="false" t="array" ref="A61:A61">IFERROR(INDEX(Pacientes!$A:$A, MATCH("Indicacao|60", Pacientes!$Z:$Z, 0)), "")</f>
        <v/>
      </c>
      <c r="B61" s="26"/>
    </row>
    <row r="62" customFormat="false" ht="15" hidden="false" customHeight="true" outlineLevel="0" collapsed="false">
      <c r="A62" s="22" t="str">
        <f aca="false" t="array" ref="A62:A62">IFERROR(INDEX(Pacientes!$A:$A, MATCH("Indicacao|61", Pacientes!$Z:$Z, 0)), "")</f>
        <v/>
      </c>
      <c r="B62" s="26"/>
    </row>
    <row r="63" customFormat="false" ht="15" hidden="false" customHeight="true" outlineLevel="0" collapsed="false">
      <c r="A63" s="22" t="str">
        <f aca="false" t="array" ref="A63:A63">IFERROR(INDEX(Pacientes!$A:$A, MATCH("Indicacao|62", Pacientes!$Z:$Z, 0)), "")</f>
        <v/>
      </c>
      <c r="B63" s="26"/>
    </row>
    <row r="64" customFormat="false" ht="15" hidden="false" customHeight="true" outlineLevel="0" collapsed="false">
      <c r="A64" s="22" t="str">
        <f aca="false" t="array" ref="A64:A64">IFERROR(INDEX(Pacientes!$A:$A, MATCH("Indicacao|63", Pacientes!$Z:$Z, 0)), "")</f>
        <v/>
      </c>
      <c r="B64" s="26"/>
    </row>
    <row r="65" customFormat="false" ht="15" hidden="false" customHeight="true" outlineLevel="0" collapsed="false">
      <c r="A65" s="22" t="str">
        <f aca="false" t="array" ref="A65:A65">IFERROR(INDEX(Pacientes!$A:$A, MATCH("Indicacao|64", Pacientes!$Z:$Z, 0)), "")</f>
        <v/>
      </c>
      <c r="B65" s="26"/>
    </row>
    <row r="66" customFormat="false" ht="15" hidden="false" customHeight="true" outlineLevel="0" collapsed="false">
      <c r="A66" s="22" t="str">
        <f aca="false" t="array" ref="A66:A66">IFERROR(INDEX(Pacientes!$A:$A, MATCH("Indicacao|65", Pacientes!$Z:$Z, 0)), "")</f>
        <v/>
      </c>
      <c r="B66" s="26"/>
    </row>
    <row r="67" customFormat="false" ht="15" hidden="false" customHeight="true" outlineLevel="0" collapsed="false">
      <c r="A67" s="22" t="str">
        <f aca="false" t="array" ref="A67:A67">IFERROR(INDEX(Pacientes!$A:$A, MATCH("Indicacao|66", Pacientes!$Z:$Z, 0)), "")</f>
        <v/>
      </c>
      <c r="B67" s="26"/>
    </row>
    <row r="68" customFormat="false" ht="15" hidden="false" customHeight="true" outlineLevel="0" collapsed="false">
      <c r="A68" s="22" t="str">
        <f aca="false" t="array" ref="A68:A68">IFERROR(INDEX(Pacientes!$A:$A, MATCH("Indicacao|67", Pacientes!$Z:$Z, 0)), "")</f>
        <v/>
      </c>
      <c r="B68" s="26"/>
    </row>
    <row r="69" customFormat="false" ht="15" hidden="false" customHeight="true" outlineLevel="0" collapsed="false">
      <c r="A69" s="22" t="str">
        <f aca="false" t="array" ref="A69:A69">IFERROR(INDEX(Pacientes!$A:$A, MATCH("Indicacao|68", Pacientes!$Z:$Z, 0)), "")</f>
        <v/>
      </c>
      <c r="B69" s="26"/>
    </row>
    <row r="70" customFormat="false" ht="15" hidden="false" customHeight="true" outlineLevel="0" collapsed="false">
      <c r="A70" s="22" t="str">
        <f aca="false" t="array" ref="A70:A70">IFERROR(INDEX(Pacientes!$A:$A, MATCH("Indicacao|69", Pacientes!$Z:$Z, 0)), "")</f>
        <v/>
      </c>
      <c r="B70" s="26"/>
    </row>
    <row r="71" customFormat="false" ht="15" hidden="false" customHeight="true" outlineLevel="0" collapsed="false">
      <c r="A71" s="22" t="str">
        <f aca="false" t="array" ref="A71:A71">IFERROR(INDEX(Pacientes!$A:$A, MATCH("Indicacao|70", Pacientes!$Z:$Z, 0)), "")</f>
        <v/>
      </c>
      <c r="B71" s="26"/>
    </row>
    <row r="72" customFormat="false" ht="15" hidden="false" customHeight="true" outlineLevel="0" collapsed="false">
      <c r="A72" s="22" t="str">
        <f aca="false" t="array" ref="A72:A72">IFERROR(INDEX(Pacientes!$A:$A, MATCH("Indicacao|71", Pacientes!$Z:$Z, 0)), "")</f>
        <v/>
      </c>
      <c r="B72" s="26"/>
    </row>
    <row r="73" customFormat="false" ht="15" hidden="false" customHeight="true" outlineLevel="0" collapsed="false">
      <c r="A73" s="22" t="str">
        <f aca="false" t="array" ref="A73:A73">IFERROR(INDEX(Pacientes!$A:$A, MATCH("Indicacao|72", Pacientes!$Z:$Z, 0)), "")</f>
        <v/>
      </c>
      <c r="B73" s="26"/>
    </row>
    <row r="74" customFormat="false" ht="15" hidden="false" customHeight="true" outlineLevel="0" collapsed="false">
      <c r="A74" s="22" t="str">
        <f aca="false" t="array" ref="A74:A74">IFERROR(INDEX(Pacientes!$A:$A, MATCH("Indicacao|73", Pacientes!$Z:$Z, 0)), "")</f>
        <v/>
      </c>
      <c r="B74" s="26"/>
    </row>
    <row r="75" customFormat="false" ht="15" hidden="false" customHeight="true" outlineLevel="0" collapsed="false">
      <c r="A75" s="22" t="str">
        <f aca="false" t="array" ref="A75:A75">IFERROR(INDEX(Pacientes!$A:$A, MATCH("Indicacao|74", Pacientes!$Z:$Z, 0)), "")</f>
        <v/>
      </c>
      <c r="B75" s="26"/>
    </row>
    <row r="76" customFormat="false" ht="15" hidden="false" customHeight="true" outlineLevel="0" collapsed="false">
      <c r="A76" s="22" t="str">
        <f aca="false" t="array" ref="A76:A76">IFERROR(INDEX(Pacientes!$A:$A, MATCH("Indicacao|75", Pacientes!$Z:$Z, 0)), "")</f>
        <v/>
      </c>
      <c r="B76" s="26"/>
    </row>
    <row r="77" customFormat="false" ht="15" hidden="false" customHeight="true" outlineLevel="0" collapsed="false">
      <c r="A77" s="22" t="str">
        <f aca="false" t="array" ref="A77:A77">IFERROR(INDEX(Pacientes!$A:$A, MATCH("Indicacao|76", Pacientes!$Z:$Z, 0)), "")</f>
        <v/>
      </c>
      <c r="B77" s="26"/>
    </row>
    <row r="78" customFormat="false" ht="15" hidden="false" customHeight="true" outlineLevel="0" collapsed="false">
      <c r="A78" s="22" t="str">
        <f aca="false" t="array" ref="A78:A78">IFERROR(INDEX(Pacientes!$A:$A, MATCH("Indicacao|77", Pacientes!$Z:$Z, 0)), "")</f>
        <v/>
      </c>
      <c r="B78" s="26"/>
    </row>
    <row r="79" customFormat="false" ht="15" hidden="false" customHeight="true" outlineLevel="0" collapsed="false">
      <c r="A79" s="22" t="str">
        <f aca="false" t="array" ref="A79:A79">IFERROR(INDEX(Pacientes!$A:$A, MATCH("Indicacao|78", Pacientes!$Z:$Z, 0)), "")</f>
        <v/>
      </c>
      <c r="B79" s="26"/>
    </row>
    <row r="80" customFormat="false" ht="15" hidden="false" customHeight="true" outlineLevel="0" collapsed="false">
      <c r="A80" s="22" t="str">
        <f aca="false" t="array" ref="A80:A80">IFERROR(INDEX(Pacientes!$A:$A, MATCH("Indicacao|79", Pacientes!$Z:$Z, 0)), "")</f>
        <v/>
      </c>
      <c r="B80" s="26"/>
    </row>
    <row r="81" customFormat="false" ht="15" hidden="false" customHeight="true" outlineLevel="0" collapsed="false">
      <c r="A81" s="22" t="str">
        <f aca="false" t="array" ref="A81:A81">IFERROR(INDEX(Pacientes!$A:$A, MATCH("Indicacao|80", Pacientes!$Z:$Z, 0)), "")</f>
        <v/>
      </c>
      <c r="B81" s="26"/>
    </row>
    <row r="82" customFormat="false" ht="15" hidden="false" customHeight="true" outlineLevel="0" collapsed="false">
      <c r="A82" s="22" t="str">
        <f aca="false" t="array" ref="A82:A82">IFERROR(INDEX(Pacientes!$A:$A, MATCH("Indicacao|81", Pacientes!$Z:$Z, 0)), "")</f>
        <v/>
      </c>
      <c r="B82" s="26"/>
    </row>
    <row r="83" customFormat="false" ht="15" hidden="false" customHeight="true" outlineLevel="0" collapsed="false">
      <c r="A83" s="22" t="str">
        <f aca="false" t="array" ref="A83:A83">IFERROR(INDEX(Pacientes!$A:$A, MATCH("Indicacao|82", Pacientes!$Z:$Z, 0)), "")</f>
        <v/>
      </c>
      <c r="B83" s="26"/>
    </row>
    <row r="84" customFormat="false" ht="15" hidden="false" customHeight="true" outlineLevel="0" collapsed="false">
      <c r="A84" s="22" t="str">
        <f aca="false" t="array" ref="A84:A84">IFERROR(INDEX(Pacientes!$A:$A, MATCH("Indicacao|83", Pacientes!$Z:$Z, 0)), "")</f>
        <v/>
      </c>
      <c r="B84" s="26"/>
    </row>
    <row r="85" customFormat="false" ht="15" hidden="false" customHeight="true" outlineLevel="0" collapsed="false">
      <c r="A85" s="22" t="str">
        <f aca="false" t="array" ref="A85:A85">IFERROR(INDEX(Pacientes!$A:$A, MATCH("Indicacao|84", Pacientes!$Z:$Z, 0)), "")</f>
        <v/>
      </c>
      <c r="B85" s="26"/>
    </row>
    <row r="86" customFormat="false" ht="15" hidden="false" customHeight="true" outlineLevel="0" collapsed="false">
      <c r="A86" s="22" t="str">
        <f aca="false" t="array" ref="A86:A86">IFERROR(INDEX(Pacientes!$A:$A, MATCH("Indicacao|85", Pacientes!$Z:$Z, 0)), "")</f>
        <v/>
      </c>
      <c r="B86" s="26"/>
    </row>
    <row r="87" customFormat="false" ht="15" hidden="false" customHeight="true" outlineLevel="0" collapsed="false">
      <c r="A87" s="22" t="str">
        <f aca="false" t="array" ref="A87:A87">IFERROR(INDEX(Pacientes!$A:$A, MATCH("Indicacao|86", Pacientes!$Z:$Z, 0)), "")</f>
        <v/>
      </c>
      <c r="B87" s="26"/>
    </row>
    <row r="88" customFormat="false" ht="15" hidden="false" customHeight="true" outlineLevel="0" collapsed="false">
      <c r="A88" s="22" t="str">
        <f aca="false" t="array" ref="A88:A88">IFERROR(INDEX(Pacientes!$A:$A, MATCH("Indicacao|87", Pacientes!$Z:$Z, 0)), "")</f>
        <v/>
      </c>
      <c r="B88" s="26"/>
    </row>
    <row r="89" customFormat="false" ht="15" hidden="false" customHeight="true" outlineLevel="0" collapsed="false">
      <c r="A89" s="22" t="str">
        <f aca="false" t="array" ref="A89:A89">IFERROR(INDEX(Pacientes!$A:$A, MATCH("Indicacao|88", Pacientes!$Z:$Z, 0)), "")</f>
        <v/>
      </c>
      <c r="B89" s="26"/>
    </row>
    <row r="90" customFormat="false" ht="15" hidden="false" customHeight="true" outlineLevel="0" collapsed="false">
      <c r="A90" s="22" t="str">
        <f aca="false" t="array" ref="A90:A90">IFERROR(INDEX(Pacientes!$A:$A, MATCH("Indicacao|89", Pacientes!$Z:$Z, 0)), "")</f>
        <v/>
      </c>
      <c r="B90" s="26"/>
    </row>
    <row r="91" customFormat="false" ht="15" hidden="false" customHeight="true" outlineLevel="0" collapsed="false">
      <c r="A91" s="22" t="str">
        <f aca="false" t="array" ref="A91:A91">IFERROR(INDEX(Pacientes!$A:$A, MATCH("Indicacao|90", Pacientes!$Z:$Z, 0)), "")</f>
        <v/>
      </c>
      <c r="B91" s="26"/>
    </row>
    <row r="92" customFormat="false" ht="15" hidden="false" customHeight="true" outlineLevel="0" collapsed="false">
      <c r="A92" s="22" t="str">
        <f aca="false" t="array" ref="A92:A92">IFERROR(INDEX(Pacientes!$A:$A, MATCH("Indicacao|91", Pacientes!$Z:$Z, 0)), "")</f>
        <v/>
      </c>
      <c r="B92" s="26"/>
    </row>
    <row r="93" customFormat="false" ht="15" hidden="false" customHeight="true" outlineLevel="0" collapsed="false">
      <c r="A93" s="22" t="str">
        <f aca="false" t="array" ref="A93:A93">IFERROR(INDEX(Pacientes!$A:$A, MATCH("Indicacao|92", Pacientes!$Z:$Z, 0)), "")</f>
        <v/>
      </c>
      <c r="B93" s="26"/>
    </row>
    <row r="94" customFormat="false" ht="15" hidden="false" customHeight="true" outlineLevel="0" collapsed="false">
      <c r="A94" s="22" t="str">
        <f aca="false" t="array" ref="A94:A94">IFERROR(INDEX(Pacientes!$A:$A, MATCH("Indicacao|93", Pacientes!$Z:$Z, 0)), "")</f>
        <v/>
      </c>
      <c r="B94" s="26"/>
    </row>
    <row r="95" customFormat="false" ht="15" hidden="false" customHeight="true" outlineLevel="0" collapsed="false">
      <c r="A95" s="22" t="str">
        <f aca="false" t="array" ref="A95:A95">IFERROR(INDEX(Pacientes!$A:$A, MATCH("Indicacao|94", Pacientes!$Z:$Z, 0)), "")</f>
        <v/>
      </c>
      <c r="B95" s="26"/>
    </row>
    <row r="96" customFormat="false" ht="15" hidden="false" customHeight="true" outlineLevel="0" collapsed="false">
      <c r="A96" s="22" t="str">
        <f aca="false" t="array" ref="A96:A96">IFERROR(INDEX(Pacientes!$A:$A, MATCH("Indicacao|95", Pacientes!$Z:$Z, 0)), "")</f>
        <v/>
      </c>
      <c r="B96" s="26"/>
    </row>
    <row r="97" customFormat="false" ht="15" hidden="false" customHeight="true" outlineLevel="0" collapsed="false">
      <c r="A97" s="22" t="str">
        <f aca="false" t="array" ref="A97:A97">IFERROR(INDEX(Pacientes!$A:$A, MATCH("Indicacao|96", Pacientes!$Z:$Z, 0)), "")</f>
        <v/>
      </c>
      <c r="B97" s="26"/>
    </row>
    <row r="98" customFormat="false" ht="15" hidden="false" customHeight="true" outlineLevel="0" collapsed="false">
      <c r="A98" s="22" t="str">
        <f aca="false" t="array" ref="A98:A98">IFERROR(INDEX(Pacientes!$A:$A, MATCH("Indicacao|97", Pacientes!$Z:$Z, 0)), "")</f>
        <v/>
      </c>
      <c r="B98" s="26"/>
    </row>
    <row r="99" customFormat="false" ht="15" hidden="false" customHeight="true" outlineLevel="0" collapsed="false">
      <c r="A99" s="22" t="str">
        <f aca="false" t="array" ref="A99:A99">IFERROR(INDEX(Pacientes!$A:$A, MATCH("Indicacao|98", Pacientes!$Z:$Z, 0)), "")</f>
        <v/>
      </c>
      <c r="B99" s="26"/>
    </row>
    <row r="100" customFormat="false" ht="15" hidden="false" customHeight="true" outlineLevel="0" collapsed="false">
      <c r="A100" s="22" t="str">
        <f aca="false" t="array" ref="A100:A100">IFERROR(INDEX(Pacientes!$A:$A, MATCH("Indicacao|99", Pacientes!$Z:$Z, 0)), "")</f>
        <v/>
      </c>
      <c r="B100" s="26"/>
    </row>
    <row r="101" customFormat="false" ht="15" hidden="false" customHeight="true" outlineLevel="0" collapsed="false">
      <c r="A101" s="22" t="str">
        <f aca="false" t="array" ref="A101:A101">IFERROR(INDEX(Pacientes!$A:$A, MATCH("Indicacao|100", Pacientes!$Z:$Z, 0)), "")</f>
        <v/>
      </c>
      <c r="B101" s="26"/>
    </row>
    <row r="102" customFormat="false" ht="15" hidden="false" customHeight="true" outlineLevel="0" collapsed="false">
      <c r="A102" s="22" t="str">
        <f aca="false" t="array" ref="A102:A102">IFERROR(INDEX(Pacientes!$A:$A, MATCH("Indicacao|101", Pacientes!$Z:$Z, 0)), "")</f>
        <v/>
      </c>
      <c r="B102" s="26"/>
    </row>
    <row r="103" customFormat="false" ht="15" hidden="false" customHeight="true" outlineLevel="0" collapsed="false">
      <c r="A103" s="22" t="str">
        <f aca="false" t="array" ref="A103:A103">IFERROR(INDEX(Pacientes!$A:$A, MATCH("Indicacao|102", Pacientes!$Z:$Z, 0)), "")</f>
        <v/>
      </c>
      <c r="B103" s="26"/>
    </row>
    <row r="104" customFormat="false" ht="15" hidden="false" customHeight="true" outlineLevel="0" collapsed="false">
      <c r="A104" s="22" t="str">
        <f aca="false" t="array" ref="A104:A104">IFERROR(INDEX(Pacientes!$A:$A, MATCH("Indicacao|103", Pacientes!$Z:$Z, 0)), "")</f>
        <v/>
      </c>
      <c r="B104" s="26"/>
    </row>
    <row r="105" customFormat="false" ht="15" hidden="false" customHeight="true" outlineLevel="0" collapsed="false">
      <c r="A105" s="22" t="str">
        <f aca="false" t="array" ref="A105:A105">IFERROR(INDEX(Pacientes!$A:$A, MATCH("Indicacao|104", Pacientes!$Z:$Z, 0)), "")</f>
        <v/>
      </c>
      <c r="B105" s="26"/>
    </row>
    <row r="106" customFormat="false" ht="15" hidden="false" customHeight="true" outlineLevel="0" collapsed="false">
      <c r="A106" s="22" t="str">
        <f aca="false" t="array" ref="A106:A106">IFERROR(INDEX(Pacientes!$A:$A, MATCH("Indicacao|105", Pacientes!$Z:$Z, 0)), "")</f>
        <v/>
      </c>
      <c r="B106" s="26"/>
    </row>
    <row r="107" customFormat="false" ht="15" hidden="false" customHeight="true" outlineLevel="0" collapsed="false">
      <c r="A107" s="22" t="str">
        <f aca="false" t="array" ref="A107:A107">IFERROR(INDEX(Pacientes!$A:$A, MATCH("Indicacao|106", Pacientes!$Z:$Z, 0)), "")</f>
        <v/>
      </c>
      <c r="B107" s="26"/>
    </row>
    <row r="108" customFormat="false" ht="15" hidden="false" customHeight="true" outlineLevel="0" collapsed="false">
      <c r="A108" s="22" t="str">
        <f aca="false" t="array" ref="A108:A108">IFERROR(INDEX(Pacientes!$A:$A, MATCH("Indicacao|107", Pacientes!$Z:$Z, 0)), "")</f>
        <v/>
      </c>
      <c r="B108" s="26"/>
    </row>
    <row r="109" customFormat="false" ht="15" hidden="false" customHeight="true" outlineLevel="0" collapsed="false">
      <c r="A109" s="22" t="str">
        <f aca="false" t="array" ref="A109:A109">IFERROR(INDEX(Pacientes!$A:$A, MATCH("Indicacao|108", Pacientes!$Z:$Z, 0)), "")</f>
        <v/>
      </c>
      <c r="B109" s="26"/>
    </row>
    <row r="110" customFormat="false" ht="15" hidden="false" customHeight="true" outlineLevel="0" collapsed="false">
      <c r="A110" s="22" t="str">
        <f aca="false" t="array" ref="A110:A110">IFERROR(INDEX(Pacientes!$A:$A, MATCH("Indicacao|109", Pacientes!$Z:$Z, 0)), "")</f>
        <v/>
      </c>
      <c r="B110" s="26"/>
    </row>
    <row r="111" customFormat="false" ht="15" hidden="false" customHeight="true" outlineLevel="0" collapsed="false">
      <c r="A111" s="22" t="str">
        <f aca="false" t="array" ref="A111:A111">IFERROR(INDEX(Pacientes!$A:$A, MATCH("Indicacao|110", Pacientes!$Z:$Z, 0)), "")</f>
        <v/>
      </c>
      <c r="B111" s="26"/>
    </row>
    <row r="112" customFormat="false" ht="15" hidden="false" customHeight="true" outlineLevel="0" collapsed="false">
      <c r="A112" s="22" t="str">
        <f aca="false" t="array" ref="A112:A112">IFERROR(INDEX(Pacientes!$A:$A, MATCH("Indicacao|111", Pacientes!$Z:$Z, 0)), "")</f>
        <v/>
      </c>
      <c r="B112" s="26"/>
    </row>
    <row r="113" customFormat="false" ht="15" hidden="false" customHeight="true" outlineLevel="0" collapsed="false">
      <c r="A113" s="22" t="str">
        <f aca="false" t="array" ref="A113:A113">IFERROR(INDEX(Pacientes!$A:$A, MATCH("Indicacao|112", Pacientes!$Z:$Z, 0)), "")</f>
        <v/>
      </c>
      <c r="B113" s="26"/>
    </row>
    <row r="114" customFormat="false" ht="15" hidden="false" customHeight="true" outlineLevel="0" collapsed="false">
      <c r="A114" s="22" t="str">
        <f aca="false" t="array" ref="A114:A114">IFERROR(INDEX(Pacientes!$A:$A, MATCH("Indicacao|113", Pacientes!$Z:$Z, 0)), "")</f>
        <v/>
      </c>
      <c r="B114" s="26"/>
    </row>
    <row r="115" customFormat="false" ht="15" hidden="false" customHeight="true" outlineLevel="0" collapsed="false">
      <c r="A115" s="22" t="str">
        <f aca="false" t="array" ref="A115:A115">IFERROR(INDEX(Pacientes!$A:$A, MATCH("Indicacao|114", Pacientes!$Z:$Z, 0)), "")</f>
        <v/>
      </c>
      <c r="B115" s="26"/>
    </row>
    <row r="116" customFormat="false" ht="15" hidden="false" customHeight="true" outlineLevel="0" collapsed="false">
      <c r="A116" s="22" t="str">
        <f aca="false" t="array" ref="A116:A116">IFERROR(INDEX(Pacientes!$A:$A, MATCH("Indicacao|115", Pacientes!$Z:$Z, 0)), "")</f>
        <v/>
      </c>
      <c r="B116" s="26"/>
    </row>
    <row r="117" customFormat="false" ht="15" hidden="false" customHeight="true" outlineLevel="0" collapsed="false">
      <c r="A117" s="22" t="str">
        <f aca="false" t="array" ref="A117:A117">IFERROR(INDEX(Pacientes!$A:$A, MATCH("Indicacao|116", Pacientes!$Z:$Z, 0)), "")</f>
        <v/>
      </c>
      <c r="B117" s="26"/>
    </row>
    <row r="118" customFormat="false" ht="15" hidden="false" customHeight="true" outlineLevel="0" collapsed="false">
      <c r="A118" s="22" t="str">
        <f aca="false" t="array" ref="A118:A118">IFERROR(INDEX(Pacientes!$A:$A, MATCH("Indicacao|117", Pacientes!$Z:$Z, 0)), "")</f>
        <v/>
      </c>
      <c r="B118" s="26"/>
    </row>
    <row r="119" customFormat="false" ht="15" hidden="false" customHeight="true" outlineLevel="0" collapsed="false">
      <c r="A119" s="22" t="str">
        <f aca="false" t="array" ref="A119:A119">IFERROR(INDEX(Pacientes!$A:$A, MATCH("Indicacao|118", Pacientes!$Z:$Z, 0)), "")</f>
        <v/>
      </c>
      <c r="B119" s="26"/>
    </row>
    <row r="120" customFormat="false" ht="15" hidden="false" customHeight="true" outlineLevel="0" collapsed="false">
      <c r="A120" s="22" t="str">
        <f aca="false" t="array" ref="A120:A120">IFERROR(INDEX(Pacientes!$A:$A, MATCH("Indicacao|119", Pacientes!$Z:$Z, 0)), "")</f>
        <v/>
      </c>
      <c r="B120" s="26"/>
    </row>
    <row r="121" customFormat="false" ht="15" hidden="false" customHeight="true" outlineLevel="0" collapsed="false">
      <c r="A121" s="22" t="str">
        <f aca="false" t="array" ref="A121:A121">IFERROR(INDEX(Pacientes!$A:$A, MATCH("Indicacao|120", Pacientes!$Z:$Z, 0)), "")</f>
        <v/>
      </c>
      <c r="B121" s="26"/>
    </row>
    <row r="122" customFormat="false" ht="15" hidden="false" customHeight="true" outlineLevel="0" collapsed="false">
      <c r="A122" s="22" t="str">
        <f aca="false" t="array" ref="A122:A122">IFERROR(INDEX(Pacientes!$A:$A, MATCH("Indicacao|121", Pacientes!$Z:$Z, 0)), "")</f>
        <v/>
      </c>
      <c r="B122" s="26"/>
    </row>
    <row r="123" customFormat="false" ht="15" hidden="false" customHeight="true" outlineLevel="0" collapsed="false">
      <c r="A123" s="22" t="str">
        <f aca="false" t="array" ref="A123:A123">IFERROR(INDEX(Pacientes!$A:$A, MATCH("Indicacao|122", Pacientes!$Z:$Z, 0)), "")</f>
        <v/>
      </c>
      <c r="B123" s="26"/>
    </row>
    <row r="124" customFormat="false" ht="15" hidden="false" customHeight="true" outlineLevel="0" collapsed="false">
      <c r="A124" s="22" t="str">
        <f aca="false" t="array" ref="A124:A124">IFERROR(INDEX(Pacientes!$A:$A, MATCH("Indicacao|123", Pacientes!$Z:$Z, 0)), "")</f>
        <v/>
      </c>
      <c r="B124" s="26"/>
    </row>
    <row r="125" customFormat="false" ht="15" hidden="false" customHeight="true" outlineLevel="0" collapsed="false">
      <c r="A125" s="22" t="str">
        <f aca="false" t="array" ref="A125:A125">IFERROR(INDEX(Pacientes!$A:$A, MATCH("Indicacao|124", Pacientes!$Z:$Z, 0)), "")</f>
        <v/>
      </c>
      <c r="B125" s="26"/>
    </row>
    <row r="126" customFormat="false" ht="15" hidden="false" customHeight="true" outlineLevel="0" collapsed="false">
      <c r="A126" s="22" t="str">
        <f aca="false" t="array" ref="A126:A126">IFERROR(INDEX(Pacientes!$A:$A, MATCH("Indicacao|125", Pacientes!$Z:$Z, 0)), "")</f>
        <v/>
      </c>
      <c r="B126" s="26"/>
    </row>
    <row r="127" customFormat="false" ht="15" hidden="false" customHeight="true" outlineLevel="0" collapsed="false">
      <c r="A127" s="22" t="str">
        <f aca="false" t="array" ref="A127:A127">IFERROR(INDEX(Pacientes!$A:$A, MATCH("Indicacao|126", Pacientes!$Z:$Z, 0)), "")</f>
        <v/>
      </c>
      <c r="B127" s="26"/>
    </row>
    <row r="128" customFormat="false" ht="15" hidden="false" customHeight="true" outlineLevel="0" collapsed="false">
      <c r="A128" s="22" t="str">
        <f aca="false" t="array" ref="A128:A128">IFERROR(INDEX(Pacientes!$A:$A, MATCH("Indicacao|127", Pacientes!$Z:$Z, 0)), "")</f>
        <v/>
      </c>
      <c r="B128" s="26"/>
    </row>
    <row r="129" customFormat="false" ht="15" hidden="false" customHeight="true" outlineLevel="0" collapsed="false">
      <c r="A129" s="22" t="str">
        <f aca="false" t="array" ref="A129:A129">IFERROR(INDEX(Pacientes!$A:$A, MATCH("Indicacao|128", Pacientes!$Z:$Z, 0)), "")</f>
        <v/>
      </c>
      <c r="B129" s="26"/>
    </row>
    <row r="130" customFormat="false" ht="15" hidden="false" customHeight="true" outlineLevel="0" collapsed="false">
      <c r="A130" s="22" t="str">
        <f aca="false" t="array" ref="A130:A130">IFERROR(INDEX(Pacientes!$A:$A, MATCH("Indicacao|129", Pacientes!$Z:$Z, 0)), "")</f>
        <v/>
      </c>
      <c r="B130" s="26"/>
    </row>
    <row r="131" customFormat="false" ht="15" hidden="false" customHeight="true" outlineLevel="0" collapsed="false">
      <c r="A131" s="22" t="str">
        <f aca="false" t="array" ref="A131:A131">IFERROR(INDEX(Pacientes!$A:$A, MATCH("Indicacao|130", Pacientes!$Z:$Z, 0)), "")</f>
        <v/>
      </c>
      <c r="B131" s="26"/>
    </row>
    <row r="132" customFormat="false" ht="15" hidden="false" customHeight="true" outlineLevel="0" collapsed="false">
      <c r="A132" s="22" t="str">
        <f aca="false" t="array" ref="A132:A132">IFERROR(INDEX(Pacientes!$A:$A, MATCH("Indicacao|131", Pacientes!$Z:$Z, 0)), "")</f>
        <v/>
      </c>
      <c r="B132" s="26"/>
    </row>
    <row r="133" customFormat="false" ht="15" hidden="false" customHeight="true" outlineLevel="0" collapsed="false">
      <c r="A133" s="22" t="str">
        <f aca="false" t="array" ref="A133:A133">IFERROR(INDEX(Pacientes!$A:$A, MATCH("Indicacao|132", Pacientes!$Z:$Z, 0)), "")</f>
        <v/>
      </c>
      <c r="B133" s="26"/>
    </row>
    <row r="134" customFormat="false" ht="15" hidden="false" customHeight="true" outlineLevel="0" collapsed="false">
      <c r="A134" s="22" t="str">
        <f aca="false" t="array" ref="A134:A134">IFERROR(INDEX(Pacientes!$A:$A, MATCH("Indicacao|133", Pacientes!$Z:$Z, 0)), "")</f>
        <v/>
      </c>
      <c r="B134" s="26"/>
    </row>
    <row r="135" customFormat="false" ht="15" hidden="false" customHeight="true" outlineLevel="0" collapsed="false">
      <c r="A135" s="22" t="str">
        <f aca="false" t="array" ref="A135:A135">IFERROR(INDEX(Pacientes!$A:$A, MATCH("Indicacao|134", Pacientes!$Z:$Z, 0)), "")</f>
        <v/>
      </c>
      <c r="B135" s="26"/>
    </row>
    <row r="136" customFormat="false" ht="15" hidden="false" customHeight="true" outlineLevel="0" collapsed="false">
      <c r="A136" s="22" t="str">
        <f aca="false" t="array" ref="A136:A136">IFERROR(INDEX(Pacientes!$A:$A, MATCH("Indicacao|135", Pacientes!$Z:$Z, 0)), "")</f>
        <v/>
      </c>
      <c r="B136" s="26"/>
    </row>
    <row r="137" customFormat="false" ht="15" hidden="false" customHeight="true" outlineLevel="0" collapsed="false">
      <c r="A137" s="22" t="str">
        <f aca="false" t="array" ref="A137:A137">IFERROR(INDEX(Pacientes!$A:$A, MATCH("Indicacao|136", Pacientes!$Z:$Z, 0)), "")</f>
        <v/>
      </c>
      <c r="B137" s="26"/>
    </row>
    <row r="138" customFormat="false" ht="15" hidden="false" customHeight="true" outlineLevel="0" collapsed="false">
      <c r="A138" s="22" t="str">
        <f aca="false" t="array" ref="A138:A138">IFERROR(INDEX(Pacientes!$A:$A, MATCH("Indicacao|137", Pacientes!$Z:$Z, 0)), "")</f>
        <v/>
      </c>
      <c r="B138" s="26"/>
    </row>
    <row r="139" customFormat="false" ht="15" hidden="false" customHeight="true" outlineLevel="0" collapsed="false">
      <c r="A139" s="22" t="str">
        <f aca="false" t="array" ref="A139:A139">IFERROR(INDEX(Pacientes!$A:$A, MATCH("Indicacao|138", Pacientes!$Z:$Z, 0)), "")</f>
        <v/>
      </c>
      <c r="B139" s="26"/>
    </row>
    <row r="140" customFormat="false" ht="15" hidden="false" customHeight="true" outlineLevel="0" collapsed="false">
      <c r="A140" s="22" t="str">
        <f aca="false" t="array" ref="A140:A140">IFERROR(INDEX(Pacientes!$A:$A, MATCH("Indicacao|139", Pacientes!$Z:$Z, 0)), "")</f>
        <v/>
      </c>
      <c r="B140" s="26"/>
    </row>
    <row r="141" customFormat="false" ht="15" hidden="false" customHeight="true" outlineLevel="0" collapsed="false">
      <c r="A141" s="22" t="str">
        <f aca="false" t="array" ref="A141:A141">IFERROR(INDEX(Pacientes!$A:$A, MATCH("Indicacao|140", Pacientes!$Z:$Z, 0)), "")</f>
        <v/>
      </c>
      <c r="B141" s="26"/>
    </row>
    <row r="142" customFormat="false" ht="15" hidden="false" customHeight="true" outlineLevel="0" collapsed="false">
      <c r="A142" s="22" t="str">
        <f aca="false" t="array" ref="A142:A142">IFERROR(INDEX(Pacientes!$A:$A, MATCH("Indicacao|141", Pacientes!$Z:$Z, 0)), "")</f>
        <v/>
      </c>
      <c r="B142" s="26"/>
    </row>
    <row r="143" customFormat="false" ht="15" hidden="false" customHeight="true" outlineLevel="0" collapsed="false">
      <c r="A143" s="22" t="str">
        <f aca="false" t="array" ref="A143:A143">IFERROR(INDEX(Pacientes!$A:$A, MATCH("Indicacao|142", Pacientes!$Z:$Z, 0)), "")</f>
        <v/>
      </c>
      <c r="B143" s="26"/>
    </row>
    <row r="144" customFormat="false" ht="15" hidden="false" customHeight="true" outlineLevel="0" collapsed="false">
      <c r="A144" s="22" t="str">
        <f aca="false" t="array" ref="A144:A144">IFERROR(INDEX(Pacientes!$A:$A, MATCH("Indicacao|143", Pacientes!$Z:$Z, 0)), "")</f>
        <v/>
      </c>
      <c r="B144" s="26"/>
    </row>
    <row r="145" customFormat="false" ht="15" hidden="false" customHeight="true" outlineLevel="0" collapsed="false">
      <c r="A145" s="22" t="str">
        <f aca="false" t="array" ref="A145:A145">IFERROR(INDEX(Pacientes!$A:$A, MATCH("Indicacao|144", Pacientes!$Z:$Z, 0)), "")</f>
        <v/>
      </c>
      <c r="B145" s="26"/>
    </row>
    <row r="146" customFormat="false" ht="15" hidden="false" customHeight="true" outlineLevel="0" collapsed="false">
      <c r="A146" s="22" t="str">
        <f aca="false" t="array" ref="A146:A146">IFERROR(INDEX(Pacientes!$A:$A, MATCH("Indicacao|145", Pacientes!$Z:$Z, 0)), "")</f>
        <v/>
      </c>
      <c r="B146" s="26"/>
    </row>
    <row r="147" customFormat="false" ht="15" hidden="false" customHeight="true" outlineLevel="0" collapsed="false">
      <c r="A147" s="22" t="str">
        <f aca="false" t="array" ref="A147:A147">IFERROR(INDEX(Pacientes!$A:$A, MATCH("Indicacao|146", Pacientes!$Z:$Z, 0)), "")</f>
        <v/>
      </c>
      <c r="B147" s="26"/>
    </row>
    <row r="148" customFormat="false" ht="15" hidden="false" customHeight="true" outlineLevel="0" collapsed="false">
      <c r="A148" s="22" t="str">
        <f aca="false" t="array" ref="A148:A148">IFERROR(INDEX(Pacientes!$A:$A, MATCH("Indicacao|147", Pacientes!$Z:$Z, 0)), "")</f>
        <v/>
      </c>
      <c r="B148" s="26"/>
    </row>
    <row r="149" customFormat="false" ht="15" hidden="false" customHeight="true" outlineLevel="0" collapsed="false">
      <c r="A149" s="22" t="str">
        <f aca="false" t="array" ref="A149:A149">IFERROR(INDEX(Pacientes!$A:$A, MATCH("Indicacao|148", Pacientes!$Z:$Z, 0)), "")</f>
        <v/>
      </c>
      <c r="B149" s="26"/>
    </row>
    <row r="150" customFormat="false" ht="15" hidden="false" customHeight="true" outlineLevel="0" collapsed="false">
      <c r="A150" s="22" t="str">
        <f aca="false" t="array" ref="A150:A150">IFERROR(INDEX(Pacientes!$A:$A, MATCH("Indicacao|149", Pacientes!$Z:$Z, 0)), "")</f>
        <v/>
      </c>
      <c r="B150" s="26"/>
    </row>
    <row r="151" customFormat="false" ht="15" hidden="false" customHeight="true" outlineLevel="0" collapsed="false">
      <c r="A151" s="22" t="str">
        <f aca="false" t="array" ref="A151:A151">IFERROR(INDEX(Pacientes!$A:$A, MATCH("Indicacao|150", Pacientes!$Z:$Z, 0)), "")</f>
        <v/>
      </c>
      <c r="B151" s="26"/>
    </row>
    <row r="152" customFormat="false" ht="15" hidden="false" customHeight="true" outlineLevel="0" collapsed="false">
      <c r="A152" s="22" t="str">
        <f aca="false" t="array" ref="A152:A152">IFERROR(INDEX(Pacientes!$A:$A, MATCH("Indicacao|151", Pacientes!$Z:$Z, 0)), "")</f>
        <v/>
      </c>
      <c r="B152" s="26"/>
    </row>
    <row r="153" customFormat="false" ht="15" hidden="false" customHeight="true" outlineLevel="0" collapsed="false">
      <c r="A153" s="22" t="str">
        <f aca="false" t="array" ref="A153:A153">IFERROR(INDEX(Pacientes!$A:$A, MATCH("Indicacao|152", Pacientes!$Z:$Z, 0)), "")</f>
        <v/>
      </c>
      <c r="B153" s="26"/>
    </row>
    <row r="154" customFormat="false" ht="15" hidden="false" customHeight="true" outlineLevel="0" collapsed="false">
      <c r="A154" s="22" t="str">
        <f aca="false" t="array" ref="A154:A154">IFERROR(INDEX(Pacientes!$A:$A, MATCH("Indicacao|153", Pacientes!$Z:$Z, 0)), "")</f>
        <v/>
      </c>
      <c r="B154" s="26"/>
    </row>
    <row r="155" customFormat="false" ht="15" hidden="false" customHeight="true" outlineLevel="0" collapsed="false">
      <c r="A155" s="22" t="str">
        <f aca="false" t="array" ref="A155:A155">IFERROR(INDEX(Pacientes!$A:$A, MATCH("Indicacao|154", Pacientes!$Z:$Z, 0)), "")</f>
        <v/>
      </c>
      <c r="B155" s="26"/>
    </row>
    <row r="156" customFormat="false" ht="15" hidden="false" customHeight="true" outlineLevel="0" collapsed="false">
      <c r="A156" s="22" t="str">
        <f aca="false" t="array" ref="A156:A156">IFERROR(INDEX(Pacientes!$A:$A, MATCH("Indicacao|155", Pacientes!$Z:$Z, 0)), "")</f>
        <v/>
      </c>
      <c r="B156" s="26"/>
    </row>
    <row r="157" customFormat="false" ht="15" hidden="false" customHeight="true" outlineLevel="0" collapsed="false">
      <c r="A157" s="22" t="str">
        <f aca="false" t="array" ref="A157:A157">IFERROR(INDEX(Pacientes!$A:$A, MATCH("Indicacao|156", Pacientes!$Z:$Z, 0)), "")</f>
        <v/>
      </c>
      <c r="B157" s="26"/>
    </row>
    <row r="158" customFormat="false" ht="15" hidden="false" customHeight="true" outlineLevel="0" collapsed="false">
      <c r="A158" s="22" t="str">
        <f aca="false" t="array" ref="A158:A158">IFERROR(INDEX(Pacientes!$A:$A, MATCH("Indicacao|157", Pacientes!$Z:$Z, 0)), "")</f>
        <v/>
      </c>
      <c r="B158" s="26"/>
    </row>
    <row r="159" customFormat="false" ht="15" hidden="false" customHeight="true" outlineLevel="0" collapsed="false">
      <c r="A159" s="22" t="str">
        <f aca="false" t="array" ref="A159:A159">IFERROR(INDEX(Pacientes!$A:$A, MATCH("Indicacao|158", Pacientes!$Z:$Z, 0)), "")</f>
        <v/>
      </c>
      <c r="B159" s="26"/>
    </row>
    <row r="160" customFormat="false" ht="15" hidden="false" customHeight="true" outlineLevel="0" collapsed="false">
      <c r="A160" s="22" t="str">
        <f aca="false" t="array" ref="A160:A160">IFERROR(INDEX(Pacientes!$A:$A, MATCH("Indicacao|159", Pacientes!$Z:$Z, 0)), "")</f>
        <v/>
      </c>
      <c r="B160" s="26"/>
    </row>
    <row r="161" customFormat="false" ht="15" hidden="false" customHeight="true" outlineLevel="0" collapsed="false">
      <c r="A161" s="22" t="str">
        <f aca="false" t="array" ref="A161:A161">IFERROR(INDEX(Pacientes!$A:$A, MATCH("Indicacao|160", Pacientes!$Z:$Z, 0)), "")</f>
        <v/>
      </c>
      <c r="B161" s="26"/>
    </row>
    <row r="162" customFormat="false" ht="15" hidden="false" customHeight="true" outlineLevel="0" collapsed="false">
      <c r="A162" s="22" t="str">
        <f aca="false" t="array" ref="A162:A162">IFERROR(INDEX(Pacientes!$A:$A, MATCH("Indicacao|161", Pacientes!$Z:$Z, 0)), "")</f>
        <v/>
      </c>
      <c r="B162" s="26"/>
    </row>
    <row r="163" customFormat="false" ht="15" hidden="false" customHeight="true" outlineLevel="0" collapsed="false">
      <c r="A163" s="22" t="str">
        <f aca="false" t="array" ref="A163:A163">IFERROR(INDEX(Pacientes!$A:$A, MATCH("Indicacao|162", Pacientes!$Z:$Z, 0)), "")</f>
        <v/>
      </c>
      <c r="B163" s="26"/>
    </row>
    <row r="164" customFormat="false" ht="15" hidden="false" customHeight="true" outlineLevel="0" collapsed="false">
      <c r="A164" s="22" t="str">
        <f aca="false" t="array" ref="A164:A164">IFERROR(INDEX(Pacientes!$A:$A, MATCH("Indicacao|163", Pacientes!$Z:$Z, 0)), "")</f>
        <v/>
      </c>
      <c r="B164" s="26"/>
    </row>
    <row r="165" customFormat="false" ht="15" hidden="false" customHeight="true" outlineLevel="0" collapsed="false">
      <c r="A165" s="22" t="str">
        <f aca="false" t="array" ref="A165:A165">IFERROR(INDEX(Pacientes!$A:$A, MATCH("Indicacao|164", Pacientes!$Z:$Z, 0)), "")</f>
        <v/>
      </c>
      <c r="B165" s="26"/>
    </row>
    <row r="166" customFormat="false" ht="15" hidden="false" customHeight="true" outlineLevel="0" collapsed="false">
      <c r="A166" s="22" t="str">
        <f aca="false" t="array" ref="A166:A166">IFERROR(INDEX(Pacientes!$A:$A, MATCH("Indicacao|165", Pacientes!$Z:$Z, 0)), "")</f>
        <v/>
      </c>
      <c r="B166" s="26"/>
    </row>
    <row r="167" customFormat="false" ht="15" hidden="false" customHeight="true" outlineLevel="0" collapsed="false">
      <c r="A167" s="22" t="str">
        <f aca="false" t="array" ref="A167:A167">IFERROR(INDEX(Pacientes!$A:$A, MATCH("Indicacao|166", Pacientes!$Z:$Z, 0)), "")</f>
        <v/>
      </c>
      <c r="B167" s="26"/>
    </row>
    <row r="168" customFormat="false" ht="15" hidden="false" customHeight="true" outlineLevel="0" collapsed="false">
      <c r="A168" s="22" t="str">
        <f aca="false" t="array" ref="A168:A168">IFERROR(INDEX(Pacientes!$A:$A, MATCH("Indicacao|167", Pacientes!$Z:$Z, 0)), "")</f>
        <v/>
      </c>
      <c r="B168" s="26"/>
    </row>
    <row r="169" customFormat="false" ht="15" hidden="false" customHeight="true" outlineLevel="0" collapsed="false">
      <c r="A169" s="22" t="str">
        <f aca="false" t="array" ref="A169:A169">IFERROR(INDEX(Pacientes!$A:$A, MATCH("Indicacao|168", Pacientes!$Z:$Z, 0)), "")</f>
        <v/>
      </c>
      <c r="B169" s="26"/>
    </row>
    <row r="170" customFormat="false" ht="15" hidden="false" customHeight="true" outlineLevel="0" collapsed="false">
      <c r="A170" s="22" t="str">
        <f aca="false" t="array" ref="A170:A170">IFERROR(INDEX(Pacientes!$A:$A, MATCH("Indicacao|169", Pacientes!$Z:$Z, 0)), "")</f>
        <v/>
      </c>
      <c r="B170" s="26"/>
    </row>
    <row r="171" customFormat="false" ht="15" hidden="false" customHeight="true" outlineLevel="0" collapsed="false">
      <c r="A171" s="22" t="str">
        <f aca="false" t="array" ref="A171:A171">IFERROR(INDEX(Pacientes!$A:$A, MATCH("Indicacao|170", Pacientes!$Z:$Z, 0)), "")</f>
        <v/>
      </c>
      <c r="B171" s="26"/>
    </row>
    <row r="172" customFormat="false" ht="15" hidden="false" customHeight="true" outlineLevel="0" collapsed="false">
      <c r="A172" s="22" t="str">
        <f aca="false" t="array" ref="A172:A172">IFERROR(INDEX(Pacientes!$A:$A, MATCH("Indicacao|171", Pacientes!$Z:$Z, 0)), "")</f>
        <v/>
      </c>
      <c r="B172" s="26"/>
    </row>
    <row r="173" customFormat="false" ht="15" hidden="false" customHeight="true" outlineLevel="0" collapsed="false">
      <c r="A173" s="22" t="str">
        <f aca="false" t="array" ref="A173:A173">IFERROR(INDEX(Pacientes!$A:$A, MATCH("Indicacao|172", Pacientes!$Z:$Z, 0)), "")</f>
        <v/>
      </c>
      <c r="B173" s="26"/>
    </row>
    <row r="174" customFormat="false" ht="15" hidden="false" customHeight="true" outlineLevel="0" collapsed="false">
      <c r="A174" s="22" t="str">
        <f aca="false" t="array" ref="A174:A174">IFERROR(INDEX(Pacientes!$A:$A, MATCH("Indicacao|173", Pacientes!$Z:$Z, 0)), "")</f>
        <v/>
      </c>
      <c r="B174" s="26"/>
    </row>
    <row r="175" customFormat="false" ht="15" hidden="false" customHeight="true" outlineLevel="0" collapsed="false">
      <c r="A175" s="22" t="str">
        <f aca="false" t="array" ref="A175:A175">IFERROR(INDEX(Pacientes!$A:$A, MATCH("Indicacao|174", Pacientes!$Z:$Z, 0)), "")</f>
        <v/>
      </c>
      <c r="B175" s="26"/>
    </row>
    <row r="176" customFormat="false" ht="15" hidden="false" customHeight="true" outlineLevel="0" collapsed="false">
      <c r="A176" s="22" t="str">
        <f aca="false" t="array" ref="A176:A176">IFERROR(INDEX(Pacientes!$A:$A, MATCH("Indicacao|175", Pacientes!$Z:$Z, 0)), "")</f>
        <v/>
      </c>
      <c r="B176" s="26"/>
    </row>
    <row r="177" customFormat="false" ht="15" hidden="false" customHeight="true" outlineLevel="0" collapsed="false">
      <c r="A177" s="22" t="str">
        <f aca="false" t="array" ref="A177:A177">IFERROR(INDEX(Pacientes!$A:$A, MATCH("Indicacao|176", Pacientes!$Z:$Z, 0)), "")</f>
        <v/>
      </c>
      <c r="B177" s="26"/>
    </row>
    <row r="178" customFormat="false" ht="15" hidden="false" customHeight="true" outlineLevel="0" collapsed="false">
      <c r="A178" s="22" t="str">
        <f aca="false" t="array" ref="A178:A178">IFERROR(INDEX(Pacientes!$A:$A, MATCH("Indicacao|177", Pacientes!$Z:$Z, 0)), "")</f>
        <v/>
      </c>
      <c r="B178" s="26"/>
    </row>
    <row r="179" customFormat="false" ht="15" hidden="false" customHeight="true" outlineLevel="0" collapsed="false">
      <c r="A179" s="22" t="str">
        <f aca="false" t="array" ref="A179:A179">IFERROR(INDEX(Pacientes!$A:$A, MATCH("Indicacao|178", Pacientes!$Z:$Z, 0)), "")</f>
        <v/>
      </c>
      <c r="B179" s="26"/>
    </row>
    <row r="180" customFormat="false" ht="15" hidden="false" customHeight="true" outlineLevel="0" collapsed="false">
      <c r="A180" s="22" t="str">
        <f aca="false" t="array" ref="A180:A180">IFERROR(INDEX(Pacientes!$A:$A, MATCH("Indicacao|179", Pacientes!$Z:$Z, 0)), "")</f>
        <v/>
      </c>
      <c r="B180" s="26"/>
    </row>
    <row r="181" customFormat="false" ht="15" hidden="false" customHeight="true" outlineLevel="0" collapsed="false">
      <c r="A181" s="22" t="str">
        <f aca="false" t="array" ref="A181:A181">IFERROR(INDEX(Pacientes!$A:$A, MATCH("Indicacao|180", Pacientes!$Z:$Z, 0)), "")</f>
        <v/>
      </c>
      <c r="B181" s="26"/>
    </row>
    <row r="182" customFormat="false" ht="15" hidden="false" customHeight="true" outlineLevel="0" collapsed="false">
      <c r="A182" s="22" t="str">
        <f aca="false" t="array" ref="A182:A182">IFERROR(INDEX(Pacientes!$A:$A, MATCH("Indicacao|181", Pacientes!$Z:$Z, 0)), "")</f>
        <v/>
      </c>
      <c r="B182" s="26"/>
    </row>
    <row r="183" customFormat="false" ht="15" hidden="false" customHeight="true" outlineLevel="0" collapsed="false">
      <c r="A183" s="22" t="str">
        <f aca="false" t="array" ref="A183:A183">IFERROR(INDEX(Pacientes!$A:$A, MATCH("Indicacao|182", Pacientes!$Z:$Z, 0)), "")</f>
        <v/>
      </c>
      <c r="B183" s="26"/>
    </row>
    <row r="184" customFormat="false" ht="15" hidden="false" customHeight="true" outlineLevel="0" collapsed="false">
      <c r="A184" s="22" t="str">
        <f aca="false" t="array" ref="A184:A184">IFERROR(INDEX(Pacientes!$A:$A, MATCH("Indicacao|183", Pacientes!$Z:$Z, 0)), "")</f>
        <v/>
      </c>
      <c r="B184" s="26"/>
    </row>
    <row r="185" customFormat="false" ht="15" hidden="false" customHeight="true" outlineLevel="0" collapsed="false">
      <c r="A185" s="22" t="str">
        <f aca="false" t="array" ref="A185:A185">IFERROR(INDEX(Pacientes!$A:$A, MATCH("Indicacao|184", Pacientes!$Z:$Z, 0)), "")</f>
        <v/>
      </c>
      <c r="B185" s="26"/>
    </row>
    <row r="186" customFormat="false" ht="15" hidden="false" customHeight="true" outlineLevel="0" collapsed="false">
      <c r="A186" s="22" t="str">
        <f aca="false" t="array" ref="A186:A186">IFERROR(INDEX(Pacientes!$A:$A, MATCH("Indicacao|185", Pacientes!$Z:$Z, 0)), "")</f>
        <v/>
      </c>
      <c r="B186" s="26"/>
    </row>
    <row r="187" customFormat="false" ht="15" hidden="false" customHeight="true" outlineLevel="0" collapsed="false">
      <c r="A187" s="22" t="str">
        <f aca="false" t="array" ref="A187:A187">IFERROR(INDEX(Pacientes!$A:$A, MATCH("Indicacao|186", Pacientes!$Z:$Z, 0)), "")</f>
        <v/>
      </c>
      <c r="B187" s="26"/>
    </row>
    <row r="188" customFormat="false" ht="15" hidden="false" customHeight="true" outlineLevel="0" collapsed="false">
      <c r="A188" s="22" t="str">
        <f aca="false" t="array" ref="A188:A188">IFERROR(INDEX(Pacientes!$A:$A, MATCH("Indicacao|187", Pacientes!$Z:$Z, 0)), "")</f>
        <v/>
      </c>
      <c r="B188" s="26"/>
    </row>
    <row r="189" customFormat="false" ht="15" hidden="false" customHeight="true" outlineLevel="0" collapsed="false">
      <c r="A189" s="22" t="str">
        <f aca="false" t="array" ref="A189:A189">IFERROR(INDEX(Pacientes!$A:$A, MATCH("Indicacao|188", Pacientes!$Z:$Z, 0)), "")</f>
        <v/>
      </c>
      <c r="B189" s="26"/>
    </row>
    <row r="190" customFormat="false" ht="15" hidden="false" customHeight="true" outlineLevel="0" collapsed="false">
      <c r="A190" s="22" t="str">
        <f aca="false" t="array" ref="A190:A190">IFERROR(INDEX(Pacientes!$A:$A, MATCH("Indicacao|189", Pacientes!$Z:$Z, 0)), "")</f>
        <v/>
      </c>
      <c r="B190" s="26"/>
    </row>
    <row r="191" customFormat="false" ht="15" hidden="false" customHeight="true" outlineLevel="0" collapsed="false">
      <c r="A191" s="22" t="str">
        <f aca="false" t="array" ref="A191:A191">IFERROR(INDEX(Pacientes!$A:$A, MATCH("Indicacao|190", Pacientes!$Z:$Z, 0)), "")</f>
        <v/>
      </c>
      <c r="B191" s="26"/>
    </row>
    <row r="192" customFormat="false" ht="15" hidden="false" customHeight="true" outlineLevel="0" collapsed="false">
      <c r="A192" s="22" t="str">
        <f aca="false" t="array" ref="A192:A192">IFERROR(INDEX(Pacientes!$A:$A, MATCH("Indicacao|191", Pacientes!$Z:$Z, 0)), "")</f>
        <v/>
      </c>
      <c r="B192" s="26"/>
    </row>
    <row r="193" customFormat="false" ht="15" hidden="false" customHeight="true" outlineLevel="0" collapsed="false">
      <c r="A193" s="22" t="str">
        <f aca="false" t="array" ref="A193:A193">IFERROR(INDEX(Pacientes!$A:$A, MATCH("Indicacao|192", Pacientes!$Z:$Z, 0)), "")</f>
        <v/>
      </c>
      <c r="B193" s="26"/>
    </row>
    <row r="194" customFormat="false" ht="15" hidden="false" customHeight="true" outlineLevel="0" collapsed="false">
      <c r="A194" s="22" t="str">
        <f aca="false" t="array" ref="A194:A194">IFERROR(INDEX(Pacientes!$A:$A, MATCH("Indicacao|193", Pacientes!$Z:$Z, 0)), "")</f>
        <v/>
      </c>
      <c r="B194" s="26"/>
    </row>
    <row r="195" customFormat="false" ht="15" hidden="false" customHeight="true" outlineLevel="0" collapsed="false">
      <c r="A195" s="22" t="str">
        <f aca="false" t="array" ref="A195:A195">IFERROR(INDEX(Pacientes!$A:$A, MATCH("Indicacao|194", Pacientes!$Z:$Z, 0)), "")</f>
        <v/>
      </c>
      <c r="B195" s="26"/>
    </row>
    <row r="196" customFormat="false" ht="15" hidden="false" customHeight="true" outlineLevel="0" collapsed="false">
      <c r="A196" s="22" t="str">
        <f aca="false" t="array" ref="A196:A196">IFERROR(INDEX(Pacientes!$A:$A, MATCH("Indicacao|195", Pacientes!$Z:$Z, 0)), "")</f>
        <v/>
      </c>
      <c r="B196" s="26"/>
    </row>
    <row r="197" customFormat="false" ht="15" hidden="false" customHeight="true" outlineLevel="0" collapsed="false">
      <c r="A197" s="22" t="str">
        <f aca="false" t="array" ref="A197:A197">IFERROR(INDEX(Pacientes!$A:$A, MATCH("Indicacao|196", Pacientes!$Z:$Z, 0)), "")</f>
        <v/>
      </c>
      <c r="B197" s="26"/>
    </row>
    <row r="198" customFormat="false" ht="15" hidden="false" customHeight="true" outlineLevel="0" collapsed="false">
      <c r="A198" s="22" t="str">
        <f aca="false" t="array" ref="A198:A198">IFERROR(INDEX(Pacientes!$A:$A, MATCH("Indicacao|197", Pacientes!$Z:$Z, 0)), "")</f>
        <v/>
      </c>
      <c r="B198" s="26"/>
    </row>
    <row r="199" customFormat="false" ht="15" hidden="false" customHeight="true" outlineLevel="0" collapsed="false">
      <c r="A199" s="22" t="str">
        <f aca="false" t="array" ref="A199:A199">IFERROR(INDEX(Pacientes!$A:$A, MATCH("Indicacao|198", Pacientes!$Z:$Z, 0)), "")</f>
        <v/>
      </c>
      <c r="B199" s="26"/>
    </row>
    <row r="200" customFormat="false" ht="15" hidden="false" customHeight="true" outlineLevel="0" collapsed="false">
      <c r="A200" s="22" t="str">
        <f aca="false" t="array" ref="A200:A200">IFERROR(INDEX(Pacientes!$A:$A, MATCH("Indicacao|199", Pacientes!$Z:$Z, 0)), "")</f>
        <v/>
      </c>
      <c r="B200" s="26"/>
    </row>
    <row r="201" customFormat="false" ht="15" hidden="false" customHeight="true" outlineLevel="0" collapsed="false">
      <c r="A201" s="22" t="str">
        <f aca="false" t="array" ref="A201:A201">IFERROR(INDEX(Pacientes!$A:$A, MATCH("Indicacao|200", Pacientes!$Z:$Z, 0)), "")</f>
        <v/>
      </c>
      <c r="B201" s="26"/>
    </row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C15" activeCellId="0" sqref="C1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.29"/>
    <col collapsed="false" customWidth="true" hidden="false" outlineLevel="0" max="2" min="2" style="1" width="76.14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11" min="9" style="1" width="13"/>
  </cols>
  <sheetData>
    <row r="1" customFormat="false" ht="15" hidden="false" customHeight="true" outlineLevel="0" collapsed="false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27.75" hidden="false" customHeight="true" outlineLevel="0" collapsed="false">
      <c r="A2" s="27"/>
      <c r="B2" s="27"/>
      <c r="C2" s="28" t="s">
        <v>221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15" hidden="false" customHeight="true" outlineLevel="0" collapsed="false">
      <c r="C3" s="29" t="s">
        <v>222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C5" s="30" t="s">
        <v>223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B6" s="31" t="s">
        <v>224</v>
      </c>
      <c r="C6" s="31"/>
      <c r="D6" s="31" t="s">
        <v>225</v>
      </c>
      <c r="E6" s="31"/>
      <c r="F6" s="31" t="s">
        <v>226</v>
      </c>
      <c r="G6" s="31"/>
      <c r="H6" s="31" t="s">
        <v>227</v>
      </c>
      <c r="I6" s="31"/>
      <c r="J6" s="31" t="s">
        <v>228</v>
      </c>
      <c r="K6" s="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5.5" hidden="false" customHeight="true" outlineLevel="0" collapsed="false">
      <c r="B7" s="32" t="n">
        <f aca="true">COUNTIF(Pacientes!$V:$V, TEXT(TODAY(),"mm/yyyy"))</f>
        <v>0</v>
      </c>
      <c r="C7" s="32"/>
      <c r="D7" s="32" t="n">
        <f aca="true">COUNTIFS(Pacientes!$W:$W, TEXT(TODAY(),"mm/yyyy"), Pacientes!$N:$N, "Sim")+COUNTIFS(Pacientes!$W:$W, TEXT(TODAY(),"mm/yyyy"), Pacientes!$N:$N, "Parcial")</f>
        <v>0</v>
      </c>
      <c r="E7" s="32"/>
      <c r="F7" s="33" t="n">
        <f aca="false">IFERROR(D7/B7,0)</f>
        <v>0</v>
      </c>
      <c r="G7" s="33"/>
      <c r="H7" s="34" t="n">
        <f aca="true">SUMIFS(Pacientes!$O:$O, Pacientes!$W:$W, TEXT(TODAY(),"mm/yyyy"))</f>
        <v>0</v>
      </c>
      <c r="I7" s="34"/>
      <c r="J7" s="34" t="n">
        <f aca="false">IFERROR(H7/D7,0)</f>
        <v>0</v>
      </c>
      <c r="K7" s="3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B8" s="32"/>
      <c r="C8" s="32"/>
      <c r="D8" s="32"/>
      <c r="E8" s="32"/>
      <c r="F8" s="33"/>
      <c r="G8" s="33"/>
      <c r="H8" s="34"/>
      <c r="I8" s="34"/>
      <c r="J8" s="34"/>
      <c r="K8" s="3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C11" s="30" t="s">
        <v>229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B12" s="1" t="s">
        <v>230</v>
      </c>
      <c r="C12" s="2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30" hidden="false" customHeight="true" outlineLevel="0" collapsed="false">
      <c r="B14" s="2" t="s">
        <v>231</v>
      </c>
      <c r="C14" s="2" t="s">
        <v>232</v>
      </c>
      <c r="D14" s="2" t="s">
        <v>233</v>
      </c>
      <c r="E14" s="2" t="s">
        <v>234</v>
      </c>
      <c r="F14" s="2" t="s">
        <v>235</v>
      </c>
      <c r="G14" s="2" t="s">
        <v>236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B15" s="35" t="n">
        <v>46082</v>
      </c>
      <c r="C15" s="36" t="n">
        <f aca="false">COUNTIF(Pacientes!$V:$V, TEXT(B15,"mm/yyyy"))</f>
        <v>0</v>
      </c>
      <c r="D15" s="36" t="n">
        <f aca="false">COUNTIFS(Pacientes!$W:$W, TEXT(B15,"mm/yyyy"), Pacientes!$N:$N, "Sim")+COUNTIFS(Pacientes!$W:$W, TEXT(B15,"mm/yyyy"), Pacientes!$N:$N, "Parcial")</f>
        <v>0</v>
      </c>
      <c r="E15" s="37" t="n">
        <f aca="false">IFERROR(D15/C15,0)</f>
        <v>0</v>
      </c>
      <c r="F15" s="38" t="n">
        <f aca="false">SUMIFS(Pacientes!$O:$O, Pacientes!$W:$W, TEXT(B15,"mm/yyyy"))</f>
        <v>0</v>
      </c>
      <c r="G15" s="38" t="n">
        <f aca="false">IFERROR(F15/D15,0)</f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B16" s="39" t="n">
        <f aca="false">EDATE(B15,1)</f>
        <v>46113</v>
      </c>
      <c r="C16" s="36" t="n">
        <f aca="false">COUNTIF(Pacientes!$V:$V, TEXT(B16,"mm/yyyy"))</f>
        <v>0</v>
      </c>
      <c r="D16" s="36" t="n">
        <f aca="false">COUNTIFS(Pacientes!$W:$W, TEXT(B16,"mm/yyyy"), Pacientes!$N:$N, "Sim")+COUNTIFS(Pacientes!$W:$W, TEXT(B16,"mm/yyyy"), Pacientes!$N:$N, "Parcial")</f>
        <v>0</v>
      </c>
      <c r="E16" s="37" t="n">
        <f aca="false">IFERROR(D16/C16,0)</f>
        <v>0</v>
      </c>
      <c r="F16" s="38" t="n">
        <f aca="false">SUMIFS(Pacientes!$O:$O, Pacientes!$W:$W, TEXT(B16,"mm/yyyy"))</f>
        <v>0</v>
      </c>
      <c r="G16" s="38" t="n">
        <f aca="false">IFERROR(F16/D16,0)</f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B17" s="39" t="n">
        <f aca="false">EDATE(B16,1)</f>
        <v>46143</v>
      </c>
      <c r="C17" s="36" t="n">
        <f aca="false">COUNTIF(Pacientes!$V:$V, TEXT(B17,"mm/yyyy"))</f>
        <v>6</v>
      </c>
      <c r="D17" s="36" t="n">
        <f aca="false">COUNTIFS(Pacientes!$W:$W, TEXT(B17,"mm/yyyy"), Pacientes!$N:$N, "Sim")+COUNTIFS(Pacientes!$W:$W, TEXT(B17,"mm/yyyy"), Pacientes!$N:$N, "Parcial")</f>
        <v>0</v>
      </c>
      <c r="E17" s="37" t="n">
        <f aca="false">IFERROR(D17/C17,0)</f>
        <v>0</v>
      </c>
      <c r="F17" s="38" t="n">
        <f aca="false">SUMIFS(Pacientes!$O:$O, Pacientes!$W:$W, TEXT(B17,"mm/yyyy"))</f>
        <v>0</v>
      </c>
      <c r="G17" s="38" t="n">
        <f aca="false">IFERROR(F17/D17,0)</f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B18" s="39" t="n">
        <f aca="false">EDATE(B17,1)</f>
        <v>46174</v>
      </c>
      <c r="C18" s="36" t="n">
        <f aca="false">COUNTIF(Pacientes!$V:$V, TEXT(B18,"mm/yyyy"))</f>
        <v>6</v>
      </c>
      <c r="D18" s="36" t="n">
        <f aca="false">COUNTIFS(Pacientes!$W:$W, TEXT(B18,"mm/yyyy"), Pacientes!$N:$N, "Sim")+COUNTIFS(Pacientes!$W:$W, TEXT(B18,"mm/yyyy"), Pacientes!$N:$N, "Parcial")</f>
        <v>0</v>
      </c>
      <c r="E18" s="37" t="n">
        <f aca="false">IFERROR(D18/C18,0)</f>
        <v>0</v>
      </c>
      <c r="F18" s="38" t="n">
        <f aca="false">SUMIFS(Pacientes!$O:$O, Pacientes!$W:$W, TEXT(B18,"mm/yyyy"))</f>
        <v>0</v>
      </c>
      <c r="G18" s="38" t="n">
        <f aca="false">IFERROR(F18/D18,0)</f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B19" s="39" t="n">
        <f aca="false">EDATE(B18,1)</f>
        <v>46204</v>
      </c>
      <c r="C19" s="36" t="n">
        <f aca="false">COUNTIF(Pacientes!$V:$V, TEXT(B19,"mm/yyyy"))</f>
        <v>13</v>
      </c>
      <c r="D19" s="36" t="n">
        <f aca="false">COUNTIFS(Pacientes!$W:$W, TEXT(B19,"mm/yyyy"), Pacientes!$N:$N, "Sim")+COUNTIFS(Pacientes!$W:$W, TEXT(B19,"mm/yyyy"), Pacientes!$N:$N, "Parcial")</f>
        <v>8</v>
      </c>
      <c r="E19" s="37" t="n">
        <f aca="false">IFERROR(D19/C19,0)</f>
        <v>0.615384615384615</v>
      </c>
      <c r="F19" s="38" t="n">
        <f aca="false">SUMIFS(Pacientes!$O:$O, Pacientes!$W:$W, TEXT(B19,"mm/yyyy"))</f>
        <v>52075.03</v>
      </c>
      <c r="G19" s="38" t="n">
        <f aca="false">IFERROR(F19/D19,0)</f>
        <v>6509.37875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B20" s="39" t="n">
        <f aca="false">EDATE(B19,1)</f>
        <v>46235</v>
      </c>
      <c r="C20" s="36" t="n">
        <f aca="false">COUNTIF(Pacientes!$V:$V, TEXT(B20,"mm/yyyy"))</f>
        <v>22</v>
      </c>
      <c r="D20" s="36" t="n">
        <f aca="false">COUNTIFS(Pacientes!$W:$W, TEXT(B20,"mm/yyyy"), Pacientes!$N:$N, "Sim")+COUNTIFS(Pacientes!$W:$W, TEXT(B20,"mm/yyyy"), Pacientes!$N:$N, "Parcial")</f>
        <v>8</v>
      </c>
      <c r="E20" s="37" t="n">
        <f aca="false">IFERROR(D20/C20,0)</f>
        <v>0.363636363636364</v>
      </c>
      <c r="F20" s="38" t="n">
        <f aca="false">SUMIFS(Pacientes!$O:$O, Pacientes!$W:$W, TEXT(B20,"mm/yyyy"))</f>
        <v>81143.35</v>
      </c>
      <c r="G20" s="38" t="n">
        <f aca="false">IFERROR(F20/D20,0)</f>
        <v>10142.91875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B21" s="39" t="n">
        <f aca="false">EDATE(B20,1)</f>
        <v>46266</v>
      </c>
      <c r="C21" s="36" t="n">
        <f aca="false">COUNTIF(Pacientes!$V:$V, TEXT(B21,"mm/yyyy"))</f>
        <v>0</v>
      </c>
      <c r="D21" s="36" t="n">
        <f aca="false">COUNTIFS(Pacientes!$W:$W, TEXT(B21,"mm/yyyy"), Pacientes!$N:$N, "Sim")+COUNTIFS(Pacientes!$W:$W, TEXT(B21,"mm/yyyy"), Pacientes!$N:$N, "Parcial")</f>
        <v>0</v>
      </c>
      <c r="E21" s="37" t="n">
        <f aca="false">IFERROR(D21/C21,0)</f>
        <v>0</v>
      </c>
      <c r="F21" s="38" t="n">
        <f aca="false">SUMIFS(Pacientes!$O:$O, Pacientes!$W:$W, TEXT(B21,"mm/yyyy"))</f>
        <v>0</v>
      </c>
      <c r="G21" s="38" t="n">
        <f aca="false">IFERROR(F21/D21,0)</f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B22" s="39" t="n">
        <f aca="false">EDATE(B21,1)</f>
        <v>46296</v>
      </c>
      <c r="C22" s="36" t="n">
        <f aca="false">COUNTIF(Pacientes!$V:$V, TEXT(B22,"mm/yyyy"))</f>
        <v>0</v>
      </c>
      <c r="D22" s="36" t="n">
        <f aca="false">COUNTIFS(Pacientes!$W:$W, TEXT(B22,"mm/yyyy"), Pacientes!$N:$N, "Sim")+COUNTIFS(Pacientes!$W:$W, TEXT(B22,"mm/yyyy"), Pacientes!$N:$N, "Parcial")</f>
        <v>0</v>
      </c>
      <c r="E22" s="37" t="n">
        <f aca="false">IFERROR(D22/C22,0)</f>
        <v>0</v>
      </c>
      <c r="F22" s="38" t="n">
        <f aca="false">SUMIFS(Pacientes!$O:$O, Pacientes!$W:$W, TEXT(B22,"mm/yyyy"))</f>
        <v>0</v>
      </c>
      <c r="G22" s="38" t="n">
        <f aca="false">IFERROR(F22/D22,0)</f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B23" s="39" t="n">
        <f aca="false">EDATE(B22,1)</f>
        <v>46327</v>
      </c>
      <c r="C23" s="36" t="n">
        <f aca="false">COUNTIF(Pacientes!$V:$V, TEXT(B23,"mm/yyyy"))</f>
        <v>0</v>
      </c>
      <c r="D23" s="36" t="n">
        <f aca="false">COUNTIFS(Pacientes!$W:$W, TEXT(B23,"mm/yyyy"), Pacientes!$N:$N, "Sim")+COUNTIFS(Pacientes!$W:$W, TEXT(B23,"mm/yyyy"), Pacientes!$N:$N, "Parcial")</f>
        <v>0</v>
      </c>
      <c r="E23" s="37" t="n">
        <f aca="false">IFERROR(D23/C23,0)</f>
        <v>0</v>
      </c>
      <c r="F23" s="38" t="n">
        <f aca="false">SUMIFS(Pacientes!$O:$O, Pacientes!$W:$W, TEXT(B23,"mm/yyyy"))</f>
        <v>0</v>
      </c>
      <c r="G23" s="38" t="n">
        <f aca="false">IFERROR(F23/D23,0)</f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B24" s="39" t="n">
        <f aca="false">EDATE(B23,1)</f>
        <v>46357</v>
      </c>
      <c r="C24" s="36" t="n">
        <f aca="false">COUNTIF(Pacientes!$V:$V, TEXT(B24,"mm/yyyy"))</f>
        <v>0</v>
      </c>
      <c r="D24" s="36" t="n">
        <f aca="false">COUNTIFS(Pacientes!$W:$W, TEXT(B24,"mm/yyyy"), Pacientes!$N:$N, "Sim")+COUNTIFS(Pacientes!$W:$W, TEXT(B24,"mm/yyyy"), Pacientes!$N:$N, "Parcial")</f>
        <v>0</v>
      </c>
      <c r="E24" s="37" t="n">
        <f aca="false">IFERROR(D24/C24,0)</f>
        <v>0</v>
      </c>
      <c r="F24" s="38" t="n">
        <f aca="false">SUMIFS(Pacientes!$O:$O, Pacientes!$W:$W, TEXT(B24,"mm/yyyy"))</f>
        <v>0</v>
      </c>
      <c r="G24" s="38" t="n">
        <f aca="false">IFERROR(F24/D24,0)</f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B25" s="39" t="n">
        <f aca="false">EDATE(B24,1)</f>
        <v>46388</v>
      </c>
      <c r="C25" s="36" t="n">
        <f aca="false">COUNTIF(Pacientes!$V:$V, TEXT(B25,"mm/yyyy"))</f>
        <v>0</v>
      </c>
      <c r="D25" s="36" t="n">
        <f aca="false">COUNTIFS(Pacientes!$W:$W, TEXT(B25,"mm/yyyy"), Pacientes!$N:$N, "Sim")+COUNTIFS(Pacientes!$W:$W, TEXT(B25,"mm/yyyy"), Pacientes!$N:$N, "Parcial")</f>
        <v>0</v>
      </c>
      <c r="E25" s="37" t="n">
        <f aca="false">IFERROR(D25/C25,0)</f>
        <v>0</v>
      </c>
      <c r="F25" s="38" t="n">
        <f aca="false">SUMIFS(Pacientes!$O:$O, Pacientes!$W:$W, TEXT(B25,"mm/yyyy"))</f>
        <v>0</v>
      </c>
      <c r="G25" s="38" t="n">
        <f aca="false">IFERROR(F25/D25,0)</f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B26" s="39" t="n">
        <f aca="false">EDATE(B25,1)</f>
        <v>46419</v>
      </c>
      <c r="C26" s="36" t="n">
        <f aca="false">COUNTIF(Pacientes!$V:$V, TEXT(B26,"mm/yyyy"))</f>
        <v>0</v>
      </c>
      <c r="D26" s="36" t="n">
        <f aca="false">COUNTIFS(Pacientes!$W:$W, TEXT(B26,"mm/yyyy"), Pacientes!$N:$N, "Sim")+COUNTIFS(Pacientes!$W:$W, TEXT(B26,"mm/yyyy"), Pacientes!$N:$N, "Parcial")</f>
        <v>0</v>
      </c>
      <c r="E26" s="37" t="n">
        <f aca="false">IFERROR(D26/C26,0)</f>
        <v>0</v>
      </c>
      <c r="F26" s="38" t="n">
        <f aca="false">SUMIFS(Pacientes!$O:$O, Pacientes!$W:$W, TEXT(B26,"mm/yyyy"))</f>
        <v>0</v>
      </c>
      <c r="G26" s="38" t="n">
        <f aca="false">IFERROR(F26/D26,0)</f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B27" s="39" t="n">
        <f aca="false">EDATE(B26,1)</f>
        <v>46447</v>
      </c>
      <c r="C27" s="36" t="n">
        <f aca="false">COUNTIF(Pacientes!$V:$V, TEXT(B27,"mm/yyyy"))</f>
        <v>0</v>
      </c>
      <c r="D27" s="36" t="n">
        <f aca="false">COUNTIFS(Pacientes!$W:$W, TEXT(B27,"mm/yyyy"), Pacientes!$N:$N, "Sim")+COUNTIFS(Pacientes!$W:$W, TEXT(B27,"mm/yyyy"), Pacientes!$N:$N, "Parcial")</f>
        <v>0</v>
      </c>
      <c r="E27" s="37" t="n">
        <f aca="false">IFERROR(D27/C27,0)</f>
        <v>0</v>
      </c>
      <c r="F27" s="38" t="n">
        <f aca="false">SUMIFS(Pacientes!$O:$O, Pacientes!$W:$W, TEXT(B27,"mm/yyyy"))</f>
        <v>0</v>
      </c>
      <c r="G27" s="38" t="n">
        <f aca="false">IFERROR(F27/D27,0)</f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B28" s="39" t="n">
        <f aca="false">EDATE(B27,1)</f>
        <v>46478</v>
      </c>
      <c r="C28" s="36" t="n">
        <f aca="false">COUNTIF(Pacientes!$V:$V, TEXT(B28,"mm/yyyy"))</f>
        <v>0</v>
      </c>
      <c r="D28" s="36" t="n">
        <f aca="false">COUNTIFS(Pacientes!$W:$W, TEXT(B28,"mm/yyyy"), Pacientes!$N:$N, "Sim")+COUNTIFS(Pacientes!$W:$W, TEXT(B28,"mm/yyyy"), Pacientes!$N:$N, "Parcial")</f>
        <v>0</v>
      </c>
      <c r="E28" s="37" t="n">
        <f aca="false">IFERROR(D28/C28,0)</f>
        <v>0</v>
      </c>
      <c r="F28" s="38" t="n">
        <f aca="false">SUMIFS(Pacientes!$O:$O, Pacientes!$W:$W, TEXT(B28,"mm/yyyy"))</f>
        <v>0</v>
      </c>
      <c r="G28" s="38" t="n">
        <f aca="false">IFERROR(F28/D28,0)</f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B29" s="39" t="n">
        <f aca="false">EDATE(B28,1)</f>
        <v>46508</v>
      </c>
      <c r="C29" s="36" t="n">
        <f aca="false">COUNTIF(Pacientes!$V:$V, TEXT(B29,"mm/yyyy"))</f>
        <v>0</v>
      </c>
      <c r="D29" s="36" t="n">
        <f aca="false">COUNTIFS(Pacientes!$W:$W, TEXT(B29,"mm/yyyy"), Pacientes!$N:$N, "Sim")+COUNTIFS(Pacientes!$W:$W, TEXT(B29,"mm/yyyy"), Pacientes!$N:$N, "Parcial")</f>
        <v>0</v>
      </c>
      <c r="E29" s="37" t="n">
        <f aca="false">IFERROR(D29/C29,0)</f>
        <v>0</v>
      </c>
      <c r="F29" s="38" t="n">
        <f aca="false">SUMIFS(Pacientes!$O:$O, Pacientes!$W:$W, TEXT(B29,"mm/yyyy"))</f>
        <v>0</v>
      </c>
      <c r="G29" s="38" t="n">
        <f aca="false">IFERROR(F29/D29,0)</f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B30" s="39" t="n">
        <f aca="false">EDATE(B29,1)</f>
        <v>46539</v>
      </c>
      <c r="C30" s="36" t="n">
        <f aca="false">COUNTIF(Pacientes!$V:$V, TEXT(B30,"mm/yyyy"))</f>
        <v>0</v>
      </c>
      <c r="D30" s="36" t="n">
        <f aca="false">COUNTIFS(Pacientes!$W:$W, TEXT(B30,"mm/yyyy"), Pacientes!$N:$N, "Sim")+COUNTIFS(Pacientes!$W:$W, TEXT(B30,"mm/yyyy"), Pacientes!$N:$N, "Parcial")</f>
        <v>0</v>
      </c>
      <c r="E30" s="37" t="n">
        <f aca="false">IFERROR(D30/C30,0)</f>
        <v>0</v>
      </c>
      <c r="F30" s="38" t="n">
        <f aca="false">SUMIFS(Pacientes!$O:$O, Pacientes!$W:$W, TEXT(B30,"mm/yyyy"))</f>
        <v>0</v>
      </c>
      <c r="G30" s="38" t="n">
        <f aca="false">IFERROR(F30/D30,0)</f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B31" s="39" t="n">
        <f aca="false">EDATE(B30,1)</f>
        <v>46569</v>
      </c>
      <c r="C31" s="36" t="n">
        <f aca="false">COUNTIF(Pacientes!$V:$V, TEXT(B31,"mm/yyyy"))</f>
        <v>0</v>
      </c>
      <c r="D31" s="36" t="n">
        <f aca="false">COUNTIFS(Pacientes!$W:$W, TEXT(B31,"mm/yyyy"), Pacientes!$N:$N, "Sim")+COUNTIFS(Pacientes!$W:$W, TEXT(B31,"mm/yyyy"), Pacientes!$N:$N, "Parcial")</f>
        <v>0</v>
      </c>
      <c r="E31" s="37" t="n">
        <f aca="false">IFERROR(D31/C31,0)</f>
        <v>0</v>
      </c>
      <c r="F31" s="38" t="n">
        <f aca="false">SUMIFS(Pacientes!$O:$O, Pacientes!$W:$W, TEXT(B31,"mm/yyyy"))</f>
        <v>0</v>
      </c>
      <c r="G31" s="38" t="n">
        <f aca="false">IFERROR(F31/D31,0)</f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B32" s="39" t="n">
        <f aca="false">EDATE(B31,1)</f>
        <v>46600</v>
      </c>
      <c r="C32" s="36" t="n">
        <f aca="false">COUNTIF(Pacientes!$V:$V, TEXT(B32,"mm/yyyy"))</f>
        <v>0</v>
      </c>
      <c r="D32" s="36" t="n">
        <f aca="false">COUNTIFS(Pacientes!$W:$W, TEXT(B32,"mm/yyyy"), Pacientes!$N:$N, "Sim")+COUNTIFS(Pacientes!$W:$W, TEXT(B32,"mm/yyyy"), Pacientes!$N:$N, "Parcial")</f>
        <v>0</v>
      </c>
      <c r="E32" s="37" t="n">
        <f aca="false">IFERROR(D32/C32,0)</f>
        <v>0</v>
      </c>
      <c r="F32" s="38" t="n">
        <f aca="false">SUMIFS(Pacientes!$O:$O, Pacientes!$W:$W, TEXT(B32,"mm/yyyy"))</f>
        <v>0</v>
      </c>
      <c r="G32" s="38" t="n">
        <f aca="false">IFERROR(F32/D32,0)</f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C35" s="30" t="s">
        <v>237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B36" s="1" t="s">
        <v>238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B38" s="40" t="s">
        <v>239</v>
      </c>
      <c r="C38" s="41" t="n">
        <f aca="true">DATE(YEAR(TODAY()),MONTH(TODAY()),1)</f>
        <v>46266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B40" s="2" t="s">
        <v>240</v>
      </c>
      <c r="C40" s="2" t="s">
        <v>241</v>
      </c>
      <c r="D40" s="2" t="s">
        <v>242</v>
      </c>
      <c r="E40" s="2" t="s">
        <v>243</v>
      </c>
      <c r="F40" s="2" t="s">
        <v>244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B41" s="42" t="s">
        <v>232</v>
      </c>
      <c r="C41" s="36" t="n">
        <f aca="false">COUNTA(Pacientes!$A:$A)-1</f>
        <v>52</v>
      </c>
      <c r="D41" s="37" t="n">
        <f aca="false">IFERROR(C41/$C$41,0)</f>
        <v>1</v>
      </c>
      <c r="E41" s="36" t="n">
        <f aca="false">COUNTIF(Pacientes!$V:$V, TEXT($C$38,"mm/yyyy"))</f>
        <v>0</v>
      </c>
      <c r="F41" s="37" t="n">
        <f aca="false">IFERROR(E41/$E$41,0)</f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B42" s="42" t="s">
        <v>245</v>
      </c>
      <c r="C42" s="36" t="n">
        <f aca="false">COUNTIF(Pacientes!$H:$H,"Sim")</f>
        <v>48</v>
      </c>
      <c r="D42" s="37" t="n">
        <f aca="false">IFERROR(C42/$C$41,0)</f>
        <v>0.923076923076923</v>
      </c>
      <c r="E42" s="36" t="n">
        <f aca="false">COUNTIFS(Pacientes!$AA:$AA, TEXT($C$38,"mm/yyyy"), Pacientes!$H:$H, "Sim")</f>
        <v>2</v>
      </c>
      <c r="F42" s="37" t="n">
        <f aca="false">IFERROR(E42/$E$41,0)</f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B43" s="42" t="s">
        <v>246</v>
      </c>
      <c r="C43" s="36" t="n">
        <f aca="false">COUNTIF(Pacientes!$J:$J,"Sim")</f>
        <v>47</v>
      </c>
      <c r="D43" s="37" t="n">
        <f aca="false">IFERROR(C43/$C$41,0)</f>
        <v>0.903846153846154</v>
      </c>
      <c r="E43" s="36" t="n">
        <f aca="false">COUNTIFS(Pacientes!$AA:$AA, TEXT($C$38,"mm/yyyy"), Pacientes!$J:$J, "Sim")</f>
        <v>2</v>
      </c>
      <c r="F43" s="37" t="n">
        <f aca="false">IFERROR(E43/$E$41,0)</f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B44" s="42" t="s">
        <v>247</v>
      </c>
      <c r="C44" s="36" t="n">
        <f aca="false">COUNTIF(Pacientes!$N:$N,"Sim")+COUNTIF(Pacientes!$N:$N,"Parcial")</f>
        <v>17</v>
      </c>
      <c r="D44" s="37" t="n">
        <f aca="false">IFERROR(C44/$C$41,0)</f>
        <v>0.326923076923077</v>
      </c>
      <c r="E44" s="36" t="n">
        <f aca="false">COUNTIFS(Pacientes!$W:$W, TEXT($C$38,"mm/yyyy"), Pacientes!$N:$N, "Sim")+COUNTIFS(Pacientes!$W:$W, TEXT($C$38,"mm/yyyy"), Pacientes!$N:$N, "Parcial")</f>
        <v>0</v>
      </c>
      <c r="F44" s="37" t="n">
        <f aca="false">IFERROR(E44/$E$41,0)</f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B46" s="29" t="s">
        <v>248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B6:C6"/>
    <mergeCell ref="D6:E6"/>
    <mergeCell ref="F6:G6"/>
    <mergeCell ref="H6:I6"/>
    <mergeCell ref="J6:K6"/>
    <mergeCell ref="B7:C8"/>
    <mergeCell ref="D7:E8"/>
    <mergeCell ref="F7:G8"/>
    <mergeCell ref="H7:I8"/>
    <mergeCell ref="J7:K8"/>
  </mergeCells>
  <conditionalFormatting sqref="C41:C44">
    <cfRule type="dataBar" priority="2">
      <dataBar showValue="1" minLength="10" maxLength="90">
        <cfvo type="num" val="0"/>
        <cfvo type="max" val="0"/>
        <color rgb="FF1F4E5F"/>
      </dataBar>
      <extLst>
        <ext xmlns:x14="http://schemas.microsoft.com/office/spreadsheetml/2009/9/main" uri="{B025F937-C7B1-47D3-B67F-A62EFF666E3E}">
          <x14:id>{9AA77CF2-CF12-46EA-835D-96192D66AB94}</x14:id>
        </ext>
      </extLst>
    </cfRule>
  </conditionalFormatting>
  <conditionalFormatting sqref="E41:E44">
    <cfRule type="dataBar" priority="3">
      <dataBar showValue="1" minLength="10" maxLength="90">
        <cfvo type="num" val="0"/>
        <cfvo type="max" val="0"/>
        <color rgb="FF2E75B6"/>
      </dataBar>
      <extLst>
        <ext xmlns:x14="http://schemas.microsoft.com/office/spreadsheetml/2009/9/main" uri="{B025F937-C7B1-47D3-B67F-A62EFF666E3E}">
          <x14:id>{A1ED8269-FF21-411D-BC40-546828B4FF8B}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77CF2-CF12-46EA-835D-96192D66AB94}">
            <x14:dataBar minLength="10" maxLength="90" axisPosition="none" gradient="true">
              <x14:cfvo type="num">
                <xm:f>0</xm:f>
              </x14:cfvo>
              <x14:cfvo type="max"/>
              <x14:negativeFillColor rgb="FF1F4E5F"/>
              <x14:axisColor rgb="FF000000"/>
            </x14:dataBar>
          </x14:cfRule>
          <xm:sqref>C41:C44</xm:sqref>
        </x14:conditionalFormatting>
        <x14:conditionalFormatting xmlns:xm="http://schemas.microsoft.com/office/excel/2006/main">
          <x14:cfRule type="dataBar" id="{A1ED8269-FF21-411D-BC40-546828B4FF8B}">
            <x14:dataBar minLength="10" maxLength="90" axisPosition="none" gradient="true">
              <x14:cfvo type="num">
                <xm:f>0</xm:f>
              </x14:cfvo>
              <x14:cfvo type="max"/>
              <x14:negativeFillColor rgb="FF2E75B6"/>
              <x14:axisColor rgb="FF000000"/>
            </x14:dataBar>
          </x14:cfRule>
          <xm:sqref>E41:E44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5"/>
    <col collapsed="false" customWidth="true" hidden="false" outlineLevel="0" max="6" min="3" style="1" width="8.71"/>
  </cols>
  <sheetData>
    <row r="1" customFormat="false" ht="1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B2" s="43" t="s">
        <v>249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B4" s="30" t="s">
        <v>250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7.75" hidden="false" customHeight="true" outlineLevel="0" collapsed="false">
      <c r="B5" s="44" t="s">
        <v>251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7.75" hidden="false" customHeight="true" outlineLevel="0" collapsed="false">
      <c r="B6" s="44" t="s">
        <v>252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7.75" hidden="false" customHeight="true" outlineLevel="0" collapsed="false">
      <c r="B7" s="44" t="s">
        <v>253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27.75" hidden="false" customHeight="true" outlineLevel="0" collapsed="false">
      <c r="B8" s="44" t="s">
        <v>254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7.5" hidden="false" customHeight="true" outlineLevel="0" collapsed="false">
      <c r="B9" s="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B10" s="30" t="s">
        <v>255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7.75" hidden="false" customHeight="true" outlineLevel="0" collapsed="false">
      <c r="B11" s="44" t="s">
        <v>256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7.75" hidden="false" customHeight="true" outlineLevel="0" collapsed="false">
      <c r="B12" s="44" t="s">
        <v>257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7.75" hidden="false" customHeight="true" outlineLevel="0" collapsed="false">
      <c r="B13" s="44" t="s">
        <v>258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7.75" hidden="false" customHeight="true" outlineLevel="0" collapsed="false">
      <c r="B14" s="44" t="s">
        <v>259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7.5" hidden="false" customHeight="true" outlineLevel="0" collapsed="false">
      <c r="B15" s="4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B16" s="30" t="s">
        <v>260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7.75" hidden="false" customHeight="true" outlineLevel="0" collapsed="false">
      <c r="B17" s="44" t="s">
        <v>261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7.75" hidden="false" customHeight="true" outlineLevel="0" collapsed="false">
      <c r="B18" s="44" t="s">
        <v>262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7.75" hidden="false" customHeight="true" outlineLevel="0" collapsed="false">
      <c r="B19" s="44" t="s">
        <v>263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7.75" hidden="false" customHeight="true" outlineLevel="0" collapsed="false">
      <c r="B20" s="44" t="s">
        <v>264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27.75" hidden="false" customHeight="true" outlineLevel="0" collapsed="false">
      <c r="B21" s="44" t="s">
        <v>265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B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7.75" hidden="false" customHeight="true" outlineLevel="0" collapsed="false">
      <c r="B23" s="30" t="s">
        <v>266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7.5" hidden="false" customHeight="true" outlineLevel="0" collapsed="false">
      <c r="B24" s="44" t="s">
        <v>267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B25" s="4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7.75" hidden="false" customHeight="true" outlineLevel="0" collapsed="false">
      <c r="B26" s="30" t="s">
        <v>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7.75" hidden="false" customHeight="true" outlineLevel="0" collapsed="false">
      <c r="B27" s="44" t="s">
        <v>268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27.75" hidden="false" customHeight="true" outlineLevel="0" collapsed="false">
      <c r="B28" s="44" t="s">
        <v>269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B29" s="44" t="s">
        <v>270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B31" s="30" t="s">
        <v>271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27.75" hidden="false" customHeight="true" outlineLevel="0" collapsed="false">
      <c r="B32" s="44" t="s">
        <v>272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27.75" hidden="false" customHeight="true" outlineLevel="0" collapsed="false">
      <c r="B33" s="44" t="s">
        <v>273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7.75" hidden="false" customHeight="true" outlineLevel="0" collapsed="false">
      <c r="B34" s="44" t="s">
        <v>274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33.29"/>
    <col collapsed="false" customWidth="true" hidden="false" outlineLevel="0" max="5" min="4" style="1" width="24"/>
    <col collapsed="false" customWidth="true" hidden="false" outlineLevel="0" max="6" min="6" style="1" width="8.71"/>
  </cols>
  <sheetData>
    <row r="1" customFormat="false" ht="30" hidden="false" customHeight="true" outlineLevel="0" collapsed="false">
      <c r="A1" s="45" t="s">
        <v>3</v>
      </c>
      <c r="B1" s="45" t="s">
        <v>5</v>
      </c>
      <c r="C1" s="45" t="s">
        <v>16</v>
      </c>
      <c r="D1" s="45" t="s">
        <v>275</v>
      </c>
      <c r="E1" s="45" t="s">
        <v>276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46" t="s">
        <v>38</v>
      </c>
      <c r="B2" s="46" t="s">
        <v>39</v>
      </c>
      <c r="C2" s="46" t="s">
        <v>277</v>
      </c>
      <c r="D2" s="46" t="s">
        <v>32</v>
      </c>
      <c r="E2" s="46" t="s">
        <v>32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46" t="s">
        <v>47</v>
      </c>
      <c r="B3" s="46" t="s">
        <v>181</v>
      </c>
      <c r="C3" s="46" t="s">
        <v>278</v>
      </c>
      <c r="D3" s="46" t="s">
        <v>33</v>
      </c>
      <c r="E3" s="46" t="s">
        <v>33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6" t="s">
        <v>279</v>
      </c>
      <c r="B4" s="47" t="s">
        <v>31</v>
      </c>
      <c r="C4" s="46" t="s">
        <v>280</v>
      </c>
      <c r="D4" s="47"/>
      <c r="E4" s="46" t="s">
        <v>62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46" t="s">
        <v>29</v>
      </c>
      <c r="B5" s="47"/>
      <c r="C5" s="46" t="s">
        <v>34</v>
      </c>
      <c r="D5" s="47"/>
      <c r="E5" s="47" t="s">
        <v>281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46" t="s">
        <v>173</v>
      </c>
      <c r="B6" s="47"/>
      <c r="C6" s="46" t="s">
        <v>282</v>
      </c>
      <c r="D6" s="47"/>
      <c r="E6" s="4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46" t="s">
        <v>283</v>
      </c>
      <c r="B7" s="47"/>
      <c r="C7" s="47" t="s">
        <v>284</v>
      </c>
      <c r="D7" s="47"/>
      <c r="E7" s="4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46" t="s">
        <v>285</v>
      </c>
      <c r="B8" s="47"/>
      <c r="C8" s="47" t="s">
        <v>63</v>
      </c>
      <c r="D8" s="47"/>
      <c r="E8" s="4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2026-09-02T19:17:12Z</dcterms:created>
  <dc:creator>openpyxl</dc:creator>
  <dc:description/>
  <dc:language>en-US</dc:language>
  <cp:lastModifiedBy/>
  <dcterms:modified xsi:type="dcterms:W3CDTF">2026-09-02T19:20:06Z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